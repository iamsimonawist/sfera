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Simona\VU Amsterdam\Year 3\Masters thesis\Replication package\data\"/>
    </mc:Choice>
  </mc:AlternateContent>
  <xr:revisionPtr revIDLastSave="0" documentId="13_ncr:1_{43F7D1C7-84E7-4A5A-ADAB-BB933FE090C9}" xr6:coauthVersionLast="47" xr6:coauthVersionMax="47" xr10:uidLastSave="{00000000-0000-0000-0000-000000000000}"/>
  <bookViews>
    <workbookView xWindow="-108" yWindow="-108" windowWidth="23256" windowHeight="12456" xr2:uid="{00000000-000D-0000-FFFF-FFFF00000000}"/>
  </bookViews>
  <sheets>
    <sheet name="SFERA_InitialSearch" sheetId="2" r:id="rId1"/>
  </sheets>
  <calcPr calcId="191029"/>
</workbook>
</file>

<file path=xl/calcChain.xml><?xml version="1.0" encoding="utf-8"?>
<calcChain xmlns="http://schemas.openxmlformats.org/spreadsheetml/2006/main">
  <c r="B3" i="2" l="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alcChain>
</file>

<file path=xl/sharedStrings.xml><?xml version="1.0" encoding="utf-8"?>
<sst xmlns="http://schemas.openxmlformats.org/spreadsheetml/2006/main" count="1721" uniqueCount="966">
  <si>
    <t>#</t>
  </si>
  <si>
    <t>Selected</t>
  </si>
  <si>
    <t>Read?</t>
  </si>
  <si>
    <t>ID</t>
  </si>
  <si>
    <t>Yes/No</t>
  </si>
  <si>
    <t>Title</t>
  </si>
  <si>
    <t>ISBN/ISSN</t>
  </si>
  <si>
    <t>DOI</t>
  </si>
  <si>
    <t>Url</t>
  </si>
  <si>
    <t>Pages</t>
  </si>
  <si>
    <t>Publisher</t>
  </si>
  <si>
    <t>Comments</t>
  </si>
  <si>
    <t>Author(s)</t>
  </si>
  <si>
    <t>Inclusion criteria</t>
  </si>
  <si>
    <t>Exclusion criteria</t>
  </si>
  <si>
    <t>Date added</t>
  </si>
  <si>
    <t>Publication year</t>
  </si>
  <si>
    <t>Skim read</t>
  </si>
  <si>
    <t>Item type</t>
  </si>
  <si>
    <t>Journal / Proceeding</t>
  </si>
  <si>
    <t>Application domain</t>
  </si>
  <si>
    <t>Application domain (if OTHER)</t>
  </si>
  <si>
    <t>Full-text read</t>
  </si>
  <si>
    <t>Title and abstract read</t>
  </si>
  <si>
    <t>Volume</t>
  </si>
  <si>
    <t>Key</t>
  </si>
  <si>
    <t>Design of a reference architecture for developing smart warehouses in industry 4.0</t>
  </si>
  <si>
    <t>DRA4DSMI</t>
  </si>
  <si>
    <t>Maarten van Geest, Bedir Tekinerdogan, Cagatay Catal</t>
  </si>
  <si>
    <t>Elsevier</t>
  </si>
  <si>
    <t>https://doi.org/10.1016/j.compind.2020.103343</t>
  </si>
  <si>
    <t>Computers in Industry</t>
  </si>
  <si>
    <t>January 2021</t>
  </si>
  <si>
    <t>September 2011</t>
  </si>
  <si>
    <t xml:space="preserve">Analyzing IoT Reference Architecture Models </t>
  </si>
  <si>
    <t>AIOTRAM</t>
  </si>
  <si>
    <t>International Journal of Computer Science and Software Engineering (IJCSSE)</t>
  </si>
  <si>
    <t>Issue</t>
  </si>
  <si>
    <t>August 2016</t>
  </si>
  <si>
    <t>154-160</t>
  </si>
  <si>
    <t>RAPTAAS</t>
  </si>
  <si>
    <t>A Reference Architecture for provisioning of Tools as a Service: Meta-model, Ontologies and Design Elements</t>
  </si>
  <si>
    <t>Muhammad Aufeef Chauhan, Muhammad Ali Babar, Quan Z. Sheng</t>
  </si>
  <si>
    <t>https://doi.org/10.1016/j.future.2016.12.002</t>
  </si>
  <si>
    <t>Future Generation Computer Systems</t>
  </si>
  <si>
    <t>April 2017</t>
  </si>
  <si>
    <t>41-65</t>
  </si>
  <si>
    <t>July 2024</t>
  </si>
  <si>
    <t>RAMDIBP</t>
  </si>
  <si>
    <t>A reference architecture for managing dynamic
inter-organizational business processes</t>
  </si>
  <si>
    <t>Alex Norta, Paul Grefen, Nanjangud C. Narendra</t>
  </si>
  <si>
    <t>https://doi.org/10.1016/j.datak.2014.04.001</t>
  </si>
  <si>
    <t>Data &amp; Knowledge Engineering</t>
  </si>
  <si>
    <t>May 2014</t>
  </si>
  <si>
    <t>52-89</t>
  </si>
  <si>
    <t>A Web-Based Reference Architecture for Mobile Learning: Its Quality Aspects and Evaluation</t>
  </si>
  <si>
    <t>WBRAML</t>
  </si>
  <si>
    <t>Janosch Zbick</t>
  </si>
  <si>
    <t>https://doi.org/10.1109/ICSAW.2017.8</t>
  </si>
  <si>
    <t>Springer</t>
  </si>
  <si>
    <t>ISSN: 2409-4285</t>
  </si>
  <si>
    <t>IJCSSE</t>
  </si>
  <si>
    <t>2017 IEEE International Conference on Software Architecture Workshops (ICSAW)</t>
  </si>
  <si>
    <t>IEEE</t>
  </si>
  <si>
    <t>Validation of PERFoRM reference architecture demonstrating an application of data mining for predicting machine failure</t>
  </si>
  <si>
    <t>Nandini Chakravorti, M. Mostafizur Rahman, Mohamed Redha Sidoumou, Nils Weinert, Frederik Gosewehr, Jeffrey Wermann</t>
  </si>
  <si>
    <t>Procedia CIRP</t>
  </si>
  <si>
    <t>1339-1344</t>
  </si>
  <si>
    <t>https://doi.org/10.1016/j.procir.2018.03.136</t>
  </si>
  <si>
    <t>A step-by-step definition of a reference architecture for cyber ranges</t>
  </si>
  <si>
    <t>Vyron Kampourakis, Vasileios Gkioulos, Sokratis Katsikas</t>
  </si>
  <si>
    <t>https://doi.org/10.1016/j.jisa.2024.103917</t>
  </si>
  <si>
    <t>Journal of Information Security and Applications</t>
  </si>
  <si>
    <t>February 2025</t>
  </si>
  <si>
    <t>SBSDRA</t>
  </si>
  <si>
    <t>Empirically-grounded reference architectures: a proposal</t>
  </si>
  <si>
    <t>EGRAP</t>
  </si>
  <si>
    <t>Matthias Galster, Paris Avgeriou</t>
  </si>
  <si>
    <t>ACM</t>
  </si>
  <si>
    <t>ISBN: 978-1-4503-0724-6</t>
  </si>
  <si>
    <t>153-158</t>
  </si>
  <si>
    <t>Proceedings of the joint ACM SIGSOFT conference -- QoSA and ACM SIGSOFT symposium -- ISARCS on Quality of software architectures -- QoSA and architecting critical systems -- ISARCS</t>
  </si>
  <si>
    <t>June 2011</t>
  </si>
  <si>
    <t>https://doi.org/10.1145/2000259.2000285</t>
  </si>
  <si>
    <t>A reference architecture for ethical-aware autonomous systems</t>
  </si>
  <si>
    <t>RAFEAAS</t>
  </si>
  <si>
    <t>Marco Autili, Martina De Sanctis, Paola Inverardi, Mashal Afzal Memon, Patrizio Pelliccione, Sara Pettinari</t>
  </si>
  <si>
    <t>Journal of Systems and Software</t>
  </si>
  <si>
    <t>May 2026</t>
  </si>
  <si>
    <t>https://doi.org/10.1016/j.jss.2025.112749</t>
  </si>
  <si>
    <t>Reference architecture for open,
maintainable and secure software for the operation of energy networks</t>
  </si>
  <si>
    <t>RAOMSSOEN</t>
  </si>
  <si>
    <t>Andre Goering, Juergen Meister, Sebastian Lehnhoff, Peter Herdt, Martin Jung, Matthias Rohr</t>
  </si>
  <si>
    <t>https://doi.org/10.1049/oap-cired.2017.0965</t>
  </si>
  <si>
    <t>International Conference &amp; Exhibition on Electricity Distribution (CIRED)</t>
  </si>
  <si>
    <t>CIRED</t>
  </si>
  <si>
    <t>ISSN: 2515-0855</t>
  </si>
  <si>
    <t>October 2017</t>
  </si>
  <si>
    <t>RAMMPAKM</t>
  </si>
  <si>
    <t>Olaf Zimmermann, Christoph Miksovic, Jochen M. Küster</t>
  </si>
  <si>
    <t>https://doi.org/10.1016/j.jss.2012.05.003</t>
  </si>
  <si>
    <t>September 2012</t>
  </si>
  <si>
    <t>2014-2033</t>
  </si>
  <si>
    <t>RADI</t>
  </si>
  <si>
    <t>Reference architecture for the digitization of industries</t>
  </si>
  <si>
    <t>Boris Otto, Michael ten Hompel, Stefan Wrobel</t>
  </si>
  <si>
    <t>109-128</t>
  </si>
  <si>
    <t>Digital Transformation</t>
  </si>
  <si>
    <t>https://doi.org/10.1007/978-3-662-58134-6_8</t>
  </si>
  <si>
    <t>ISBN: 978-3-662-58134-6</t>
  </si>
  <si>
    <t>Shedding light on blind spots – Developing a reference architecture to leverage video data for process mining</t>
  </si>
  <si>
    <t>SLOBS</t>
  </si>
  <si>
    <t>https://doi.org/10.1016/j.dss.2022.113794</t>
  </si>
  <si>
    <t>Decision Support Systems</t>
  </si>
  <si>
    <t>July 2022</t>
  </si>
  <si>
    <t>All you need is an AI platform: a proposal for a complete reference architecture</t>
  </si>
  <si>
    <t>AYNIAIP</t>
  </si>
  <si>
    <t>Benjamin Weigell, Fabian Stieler, Bernhard Bauer</t>
  </si>
  <si>
    <t>2025 IEEE/ACM 4th International Conference on AI Engineering – Software Engineering for AI (CAIN)</t>
  </si>
  <si>
    <t>https://doi.org/10.1109/CAIN66642.2025.00046</t>
  </si>
  <si>
    <t>June 2025</t>
  </si>
  <si>
    <t>PF4DSRA</t>
  </si>
  <si>
    <t>Muhammad Aufeef Chauhan, Muhammad Ali Babar, Christian W. Probst</t>
  </si>
  <si>
    <t>November 2016</t>
  </si>
  <si>
    <t>111-126</t>
  </si>
  <si>
    <t>Product-Focused Software Process Improvement (PROFES 2016)</t>
  </si>
  <si>
    <t>https://doi.org/10.1007/978-3-319-49094-6_8</t>
  </si>
  <si>
    <t>Secure Cloud Computing: Reference Architecture for Measuring Instrument under Legal Control</t>
  </si>
  <si>
    <t>SCCRAMILC</t>
  </si>
  <si>
    <t>Alexander Oppermann, Federico Grasso Toro, Florian Thiel, Jean-Pierre Seifert</t>
  </si>
  <si>
    <t>May 2018</t>
  </si>
  <si>
    <t>https://doi.org/10.1002/spy2.18</t>
  </si>
  <si>
    <t>Wiley</t>
  </si>
  <si>
    <t>Reference Architecture for Android Applications to Support the Detection of Manipulated Evidence</t>
  </si>
  <si>
    <t>RAAASDME</t>
  </si>
  <si>
    <t>H. Pieterse, M.S. Olivier, R.P. van Heerden</t>
  </si>
  <si>
    <t>SAIEE Africa Research Journal</t>
  </si>
  <si>
    <t>https://doi.org/10.23919/SAIEE.2016.8531545</t>
  </si>
  <si>
    <t>ISSN: 1991-1696</t>
  </si>
  <si>
    <t>June 2016</t>
  </si>
  <si>
    <t>92-103</t>
  </si>
  <si>
    <t>SAIEE</t>
  </si>
  <si>
    <t>RAD4CBSTS</t>
  </si>
  <si>
    <t>Geertruida Aline Attwell, Kwabena Ebo Bennin, Bedir Tekinerdogan</t>
  </si>
  <si>
    <t>https://doi.org/10.1016/j.csl.2022.101465</t>
  </si>
  <si>
    <t>Computer Speech &amp; Language</t>
  </si>
  <si>
    <t>March 2023</t>
  </si>
  <si>
    <t>Lecture Notes in Computer Science</t>
  </si>
  <si>
    <t>2011 Ninth Working IEEE/IFIP Conference on Software Architecture</t>
  </si>
  <si>
    <t>ASRRAMKM</t>
  </si>
  <si>
    <t>Christoph Miksovic, Olaf Zimmermann</t>
  </si>
  <si>
    <t>July 2011</t>
  </si>
  <si>
    <t>ISBN: 978-1-61284-399-5</t>
  </si>
  <si>
    <t>https://doi.org/10.1109/WICSA.2011.43</t>
  </si>
  <si>
    <t>A Reference Architecture for Mobile Code Offload in Hostile Environments</t>
  </si>
  <si>
    <t>RAMCOHE</t>
  </si>
  <si>
    <t>Soumya Simanta, Kiryonh Ha, Grace Lewis, Ed Morris, Mahadev Satyanarayanan</t>
  </si>
  <si>
    <t>274-293</t>
  </si>
  <si>
    <t>Mobile Computing, Applications, and Services (MobiCASE 2012)</t>
  </si>
  <si>
    <t>https://doi.org/10.1007/978-3-642-36632-1_16</t>
  </si>
  <si>
    <t>ISBN: 978-3-642-36632-1</t>
  </si>
  <si>
    <t>Towards a Reference Architecture for Model-Based Engineering Environments</t>
  </si>
  <si>
    <t>TRAMBEE</t>
  </si>
  <si>
    <t>Sebastian J. I. Herzig, Robert Karban, Michel D. Ingham</t>
  </si>
  <si>
    <t>AIAA SPACE 2016</t>
  </si>
  <si>
    <t>https://doi.org/10.2514/6.2016-5468</t>
  </si>
  <si>
    <t>September 2016</t>
  </si>
  <si>
    <t>https://arc.aiaa.org/doi/abs/10.2514/6.2016-5468</t>
  </si>
  <si>
    <t>AIAA</t>
  </si>
  <si>
    <t>Big data workflows: A reference architecture and the DATAVIEW system</t>
  </si>
  <si>
    <t>BDWRADS</t>
  </si>
  <si>
    <t>Andrey Kashlev, Shiyong Lu, Aravind Mohan</t>
  </si>
  <si>
    <t>Services Transactions on Big Data</t>
  </si>
  <si>
    <t>ISSN 2326-442X</t>
  </si>
  <si>
    <t>https://doi.org/10.29268/stbd.2017.4.1.1</t>
  </si>
  <si>
    <t>January 2017</t>
  </si>
  <si>
    <t>2011 IEEE International Conference on Services Computing</t>
  </si>
  <si>
    <t>CDESASARM</t>
  </si>
  <si>
    <t>Alfred Zimmermann, Helge Buckow, Hans-Jürgen Groß, Oliver F. Nandico, Gunther Piller, Karl Prott</t>
  </si>
  <si>
    <t>https://doi.org/10.1109/SCC.2011.103</t>
  </si>
  <si>
    <t>ISBN: 978-1-4577-0863-3</t>
  </si>
  <si>
    <t>A Reference Architecture for Software Protection</t>
  </si>
  <si>
    <t>RASP</t>
  </si>
  <si>
    <t>Bjorn De Sutter, Paolo Falcarin, Brecht Wyseur, Cataldo Basile, Mariano Ceccato, Jerome d’Annoville, Michael Zunke</t>
  </si>
  <si>
    <t>2016 13th Working IEEE/IFIP Conference on Software Architecture</t>
  </si>
  <si>
    <t>https://doi.org/10.1109/WICSA.2016.43</t>
  </si>
  <si>
    <t>July 2016</t>
  </si>
  <si>
    <t>SECURA</t>
  </si>
  <si>
    <t>SECURA: Unified Reference Architecture for Advanced Securityand Trust in Safety Critical Infrastructures</t>
  </si>
  <si>
    <t>Michael Eckel, Sigrid Gürgens</t>
  </si>
  <si>
    <t>ISBN: 979-8-4007-1718-5</t>
  </si>
  <si>
    <t>https://doi.org/10.1145/3664476.3664513</t>
  </si>
  <si>
    <t>ARES 2024: The 19th International
Conference on Availability, Reliability and Security</t>
  </si>
  <si>
    <t>A Reference Architecture for Healthcare Supportive Home Systems</t>
  </si>
  <si>
    <t>RAHSHS</t>
  </si>
  <si>
    <t>Lina Garces, Apostolos Ampatzoglou, Paris Avgeriou, Elisa Yumi Nakagawa</t>
  </si>
  <si>
    <t>2015 IEEE 28th International Symposium on Computer-Based Medical Systems</t>
  </si>
  <si>
    <t>https://doi.org/10.1109/CBMS.2015.39</t>
  </si>
  <si>
    <t>ISBN: 978-1-4673-6775-2</t>
  </si>
  <si>
    <t>July 2015</t>
  </si>
  <si>
    <t>1-13</t>
  </si>
  <si>
    <t>A Reference Architecture for High-Availability Automatic Failover between PaaS Cloud Providers</t>
  </si>
  <si>
    <t>RAHAAFPAAS</t>
  </si>
  <si>
    <t>Ivor D. Addo, Sheikh I. Ahamed, William C. Chu</t>
  </si>
  <si>
    <t>2014 International Conference on Trustworthy Systems and their Applications</t>
  </si>
  <si>
    <t>https://doi.org/10.1109/TSA.2014.12</t>
  </si>
  <si>
    <t>November 2014</t>
  </si>
  <si>
    <t>A Software Reference Architecture for Semantic-Aware Big Data Systems</t>
  </si>
  <si>
    <t>SRASABDS</t>
  </si>
  <si>
    <t>https://doi.org/10.1016/j.infsof.2017.06.001</t>
  </si>
  <si>
    <t>Information and Software Technology</t>
  </si>
  <si>
    <t>75-92</t>
  </si>
  <si>
    <t>Variability Viewpoint to Describe Reference Architectures</t>
  </si>
  <si>
    <t>VVDRA</t>
  </si>
  <si>
    <t>Milena Guessi, Flavio Oquendo, Elisa Yumi Nakagawa</t>
  </si>
  <si>
    <t>https://doi.org/10.1145/2578128.2578238</t>
  </si>
  <si>
    <t>April 2014</t>
  </si>
  <si>
    <t>WICSA 2014 Companion: Proceedings of the WICSA 2014 Companion Volume</t>
  </si>
  <si>
    <t>1-6</t>
  </si>
  <si>
    <t>Validation of PERFoRM reference architecture demonstrating an automatic robot reconfiguration application</t>
  </si>
  <si>
    <t>PERFORMABRA</t>
  </si>
  <si>
    <t>PERFORMADM</t>
  </si>
  <si>
    <t>N. Chakravorti, E. Dimanidou, G. Angione, J. Wermann, F. Gosewehr</t>
  </si>
  <si>
    <t>2017 IEEE 15th International Conference on Industrial Informatics (INDIN)</t>
  </si>
  <si>
    <t>https://doi.org/10.1109/INDIN.2017.8104938</t>
  </si>
  <si>
    <t>ISSN: 2378-363X</t>
  </si>
  <si>
    <t>November 2017</t>
  </si>
  <si>
    <t>Evaluation of the E-contracting reference architecture</t>
  </si>
  <si>
    <t>EERA</t>
  </si>
  <si>
    <t>Samuil Angelov</t>
  </si>
  <si>
    <t>https://pure.tue.nl/ws/portalfiles/portal/2081401/629930.pdf</t>
  </si>
  <si>
    <t>ISBN: 978-90-386-1108-2</t>
  </si>
  <si>
    <t>August 2007</t>
  </si>
  <si>
    <t>Eindhoven University ofTechnology</t>
  </si>
  <si>
    <t>Evaluation of a distributed deep learning framework as a reference architecture for a cloud environment</t>
  </si>
  <si>
    <t>EDDLFRACE</t>
  </si>
  <si>
    <t>Attila Farkas, Krisztián Póra, Sándor Szénási, Gábor Kertész, Róbert Lovas</t>
  </si>
  <si>
    <t>ISBN: 978-1-6654-8177-9</t>
  </si>
  <si>
    <t>https://doi.org/10.1109/ICCC202255925.2022.9922765</t>
  </si>
  <si>
    <t>2022 IEEE 10th Jubilee International Conference on Computational Cybernetics and Cyber-Medical Systems (ICCC)</t>
  </si>
  <si>
    <t>October 2022</t>
  </si>
  <si>
    <t>A Reference Architecture for Social Media Intelligence Applications in the Cloud</t>
  </si>
  <si>
    <t>RASMIAC</t>
  </si>
  <si>
    <t>Ivor D. Addo, Duc Do, Rong Ge, Sheikh I. Ahamed</t>
  </si>
  <si>
    <t>https://doi.org/10.1109/COMPSAC.2015.128</t>
  </si>
  <si>
    <t>ISBN: 978-1-4673-6564-2</t>
  </si>
  <si>
    <t>2015 IEEE 39th Annual Computer Software and Applications Conference</t>
  </si>
  <si>
    <t>September 2015</t>
  </si>
  <si>
    <t>Towards a Reference Architecture for Demand Oriented Public Transportation Services</t>
  </si>
  <si>
    <t>TRADOPTS</t>
  </si>
  <si>
    <t>Mark-Oliver Würtz, Kurt Sandkuhl</t>
  </si>
  <si>
    <t>2021 IEEE 25th International Enterprise Distributed Object Computing Workshop (EDOCW)</t>
  </si>
  <si>
    <t>December 2021</t>
  </si>
  <si>
    <t>ISBN: 978-1-6654-4488-0</t>
  </si>
  <si>
    <t>https://doi.org/10.1109/EDOCW52865.2021.00041</t>
  </si>
  <si>
    <t>HORSE</t>
  </si>
  <si>
    <t>https://doi.org/10.1016/j.jmsy.2021.09.003</t>
  </si>
  <si>
    <t>Journal of Manufacturing Systems</t>
  </si>
  <si>
    <t>October 2021</t>
  </si>
  <si>
    <t>Reference Architecture and Agile Development Method for a Process-Driven Web Platform based on the BPMN-Standard and Process Engines</t>
  </si>
  <si>
    <t>RAADMPDWP</t>
  </si>
  <si>
    <t>Eike Schäffer, Marvin Schobert, Tobias Reichenstein, Andreas Selmaier, Volker Stiehl, Markus Herhoffer, Matus Mala, Jörg Franke</t>
  </si>
  <si>
    <t>https://doi.org/10.1016/j.procir.2021.10.023</t>
  </si>
  <si>
    <t>146-151</t>
  </si>
  <si>
    <t>The SHOP4CF modular reference architecture for flexible process-oriented, data-driven smart manufacturing</t>
  </si>
  <si>
    <t>SHOP4CF</t>
  </si>
  <si>
    <t>Paul Grefen, Michał Zimniewicz, Irene Vanderfeesten, Kostas Traganos, Pieter Becue, Anders Pedersen, Genessis Perez Rivera</t>
  </si>
  <si>
    <t>https://doi.org/10.1016/j.jmsy.2026.01.010</t>
  </si>
  <si>
    <t>April 2026</t>
  </si>
  <si>
    <t>227-247</t>
  </si>
  <si>
    <t>An Interoperable eHealth Reference Architecture for Primary Care</t>
  </si>
  <si>
    <t>IERAPC</t>
  </si>
  <si>
    <t>2018 IEEE Symposium on Computers and Communications (ISCC)</t>
  </si>
  <si>
    <t>https://doi.org/10.1109/ISCC.2018.8538576</t>
  </si>
  <si>
    <t>November 2018</t>
  </si>
  <si>
    <t>ISBN: 978-1-5386-6950-1</t>
  </si>
  <si>
    <t>Wendy Oude Nijeweme-d’Hollosy, Lex van Velsen, Alexander Henket, Hermie Hermens</t>
  </si>
  <si>
    <t>Reference Architecture, Metamodel, and Modeling Principles for Architectural Knowledge Management in Information Technology Services</t>
  </si>
  <si>
    <t>Wolfgang Kratsch, Fabian König, Maximilian Röglinger</t>
  </si>
  <si>
    <t>A Process Framework for Designing Software Reference Architectures for providing Tools as a Service</t>
  </si>
  <si>
    <t>Reference architecture design for computer-based speech therapy systems</t>
  </si>
  <si>
    <t>Architecturally Significant Requirements, Reference Architecture, and Metamodel for Knowledge Management in Information Technology Services</t>
  </si>
  <si>
    <t>Capability Diagnostics of Enterprise Service Architectures using a dedicated Software Architecture Reference Model</t>
  </si>
  <si>
    <t>Sergi Nadal, Victor Herrero, Oscar Romero, Alberto Abelló, Xavier Franch, Stijn Vansummeren, Danilo Valerio</t>
  </si>
  <si>
    <t>The HORSE framework: A reference architecture for cyber-physical systems in hybrid smart manufacturing</t>
  </si>
  <si>
    <t>Konstantinos Traganos, Paul Grefen, Irene Vanderfeesten, Jonnro Erasmus, Georgios Boultadakis, Panagiotis Bouklis</t>
  </si>
  <si>
    <t>https://amohan.mcm.edu/upload/conf_pubs/stbd17.pdf</t>
  </si>
  <si>
    <t>A reference architecture for datacenter scheduling: design, validation, and experiments</t>
  </si>
  <si>
    <t>RADSDVE</t>
  </si>
  <si>
    <t>Georgios Andreadis, Laurens Versluis, Fabian Mastenbroek, Alexandru Iosup</t>
  </si>
  <si>
    <t>ISBN: 978-1-5386-8384-2</t>
  </si>
  <si>
    <t>SC 2018: Proceedings of the International Conference for High Performance Computing, Networking, Storage, and Analysis</t>
  </si>
  <si>
    <t>https://doi.org/10.1109/SC.2018.00040</t>
  </si>
  <si>
    <t>July 2019</t>
  </si>
  <si>
    <t>1-15</t>
  </si>
  <si>
    <t>RAMSEAF</t>
  </si>
  <si>
    <t>Gökçe Özkan, Erkin Çilden, Emre Gültekin, Ahmet Sezer, Haluk Canberi</t>
  </si>
  <si>
    <t>SummerSim '19: Proceedings of the 2019 Summer Simulation Conference</t>
  </si>
  <si>
    <t>A reference architecture for military simulations with experimentation and analysis features</t>
  </si>
  <si>
    <t>https://dl.acm.org/doi/10.5555/3374138.3374202</t>
  </si>
  <si>
    <t>ACDRACS</t>
  </si>
  <si>
    <t>Liliana Dobrica, Eila Ovaska</t>
  </si>
  <si>
    <t>ECSA 2011: Proceedings of the 5th European Conference on Software Architecture: Companion Volume</t>
  </si>
  <si>
    <t>1-9</t>
  </si>
  <si>
    <t>https://doi.org/10.1145/2031759.203177</t>
  </si>
  <si>
    <t>ISBN: 978-1-4503-0618-8</t>
  </si>
  <si>
    <t>Analysis of a Cross-Domain Reference Architecture using 
Change Scenarios</t>
  </si>
  <si>
    <t>May 2008</t>
  </si>
  <si>
    <t>FADSRA</t>
  </si>
  <si>
    <t>A framework for analysis and design of software reference architectures</t>
  </si>
  <si>
    <t>Samuil Angelov, Paul Grefen, Danny Greefhorst</t>
  </si>
  <si>
    <t>417-431</t>
  </si>
  <si>
    <t>Google Scholar</t>
  </si>
  <si>
    <t>April 2012</t>
  </si>
  <si>
    <t>https://doi.org/10.1016/j.infsof.2011.11.009</t>
  </si>
  <si>
    <t>Source</t>
  </si>
  <si>
    <t>RACTPSBDS</t>
  </si>
  <si>
    <t>Pekka Pääkkönen, Daniel Pakkala</t>
  </si>
  <si>
    <t>Reference Architecture and Classification of Technologies, Products and Services for Big Data Systems</t>
  </si>
  <si>
    <t>Big Data Research</t>
  </si>
  <si>
    <t>166-186</t>
  </si>
  <si>
    <t>December 2015</t>
  </si>
  <si>
    <t>https://doi.org/10.1016/j.bdr.2015.01.001</t>
  </si>
  <si>
    <t>RMAMPEG</t>
  </si>
  <si>
    <t>Jeroen Breebaart, Sascha Disch, Christof Faller, Jürgen Herre, Johannes Hilpert, Kristofer Kjörling, Francois Myburg, Heiko Purnhagen, Erik Schuijers</t>
  </si>
  <si>
    <t>Journal of the Audio Engineering Society</t>
  </si>
  <si>
    <t>May 2005</t>
  </si>
  <si>
    <t>AES</t>
  </si>
  <si>
    <t>A Software Product Line Reference Architecture for Security</t>
  </si>
  <si>
    <t>SPLRAS</t>
  </si>
  <si>
    <t xml:space="preserve">Tor Erlend Fægri, Svein Hallsteinsen </t>
  </si>
  <si>
    <t>275-326</t>
  </si>
  <si>
    <t>Software Product Lines</t>
  </si>
  <si>
    <t>https://doi.org/10.1007/978-3-540-33253-4_8</t>
  </si>
  <si>
    <t>ISBN: 978-3-540-33253-4</t>
  </si>
  <si>
    <t>A Reference Architecture for Natural Language Generation Systems</t>
  </si>
  <si>
    <t>RANLGS</t>
  </si>
  <si>
    <t>Chris Mellish, Donia Scott, Lynne Cahill, Daniel Paiva, Roger Evans, Mike Reape</t>
  </si>
  <si>
    <t>https://doi.org/10.1017/S1351324906004104</t>
  </si>
  <si>
    <t>Cambridge University Press</t>
  </si>
  <si>
    <t>Natural Language Engineering</t>
  </si>
  <si>
    <t>1-34</t>
  </si>
  <si>
    <t>March 2006</t>
  </si>
  <si>
    <t>IGI Global Scientific Publishing</t>
  </si>
  <si>
    <t>A reference architecture for web browsers</t>
  </si>
  <si>
    <t>RAWB</t>
  </si>
  <si>
    <t>Alan Grosskurth, Michael W. Godfrey</t>
  </si>
  <si>
    <t>ISBN: 0-7695-2368-4</t>
  </si>
  <si>
    <t>https://doi.org/10.1109/ICSM.2005.13</t>
  </si>
  <si>
    <t>November 2005</t>
  </si>
  <si>
    <t>21st IEEE International Conference on Software Maintenance (ICSM 2005)</t>
  </si>
  <si>
    <t>661-664</t>
  </si>
  <si>
    <t>The Reference Model Architecture for MPEG Spatial Audio Coding</t>
  </si>
  <si>
    <t>A Classification of Software Reference Architectures: Analyzing Their Success and Effectiveness</t>
  </si>
  <si>
    <t>CSRAATSE</t>
  </si>
  <si>
    <t>2009 Joint Working IEEE/IFIP Conference on Software Architecture &amp; European Conference on Software Architecture</t>
  </si>
  <si>
    <t>September 2009</t>
  </si>
  <si>
    <t>https://doi.org/10.1109/WICSA.2009.5290800</t>
  </si>
  <si>
    <t>141-150</t>
  </si>
  <si>
    <t xml:space="preserve">A Framework for Software Reference Architecture Analysis and Review </t>
  </si>
  <si>
    <t>Silverio Martínez-Fernández, Claudia Ayala, Xavier Franch, David Ameller</t>
  </si>
  <si>
    <t>https://hdl.handle.net/2117/24040</t>
  </si>
  <si>
    <t>Universidad ORT Uruguay</t>
  </si>
  <si>
    <t>Towards a method for the evaluation of reference architectures: Experiences from a case</t>
  </si>
  <si>
    <t>TM4ERA</t>
  </si>
  <si>
    <t xml:space="preserve">Samuil Angelov, Jos J. M. Trienekens, Paul Grefen </t>
  </si>
  <si>
    <t>225-240</t>
  </si>
  <si>
    <t>https://doi.org/10.1007/978-3-540-88030-1_17</t>
  </si>
  <si>
    <t>ISBN: 978-3-540-88030-1</t>
  </si>
  <si>
    <t>Benefits and Drawbacks of Software Reference Architectures: A Case Study</t>
  </si>
  <si>
    <t>BDSRA</t>
  </si>
  <si>
    <t>Silverio Martínez-Fernández, Claudia Ayala, Xavier Franch, Helena Martins Marques</t>
  </si>
  <si>
    <t>https://doi.org/10.1016/j.infsof.2017.03.011</t>
  </si>
  <si>
    <t>August 2017</t>
  </si>
  <si>
    <t>37-52</t>
  </si>
  <si>
    <t>Evaluating an Embedded Software Reference Architecture - Industrial Experience Report</t>
  </si>
  <si>
    <t>Bas Graaf, Hylke van Dijk, Arie van Deursen</t>
  </si>
  <si>
    <t>EESRA</t>
  </si>
  <si>
    <t>Ninth European Conference on Software Maintenance and Reengineering</t>
  </si>
  <si>
    <t>March 2005</t>
  </si>
  <si>
    <t>https://doi.org/10.1109/CSMR.2005.28</t>
  </si>
  <si>
    <t>ISBN: 0-7695-2304-8</t>
  </si>
  <si>
    <t>354-363</t>
  </si>
  <si>
    <t>A reference architecture for Farm Software Ecosystems</t>
  </si>
  <si>
    <t>RAFSE</t>
  </si>
  <si>
    <t>https://doi.org/10.1016/j.compag.2016.04.011</t>
  </si>
  <si>
    <t>Computers and Electronics in Agriculture</t>
  </si>
  <si>
    <t>12-28</t>
  </si>
  <si>
    <t>J.W. Kruize, J. Wolfert, H. Scholten, C.N. Verdouw,  A. Kassahun, A.J.M. Beulens</t>
  </si>
  <si>
    <t>RATSIES</t>
  </si>
  <si>
    <t>Ulrik Eklund, Niklas Jonsson, Jan Bosch, Anders Eriksson</t>
  </si>
  <si>
    <t>Proceedings of the WICSA/ECSA 2012 Companion Volume</t>
  </si>
  <si>
    <t>104-111</t>
  </si>
  <si>
    <t>August 2012</t>
  </si>
  <si>
    <t>https://doi.org/10.1145/2361999.2362022</t>
  </si>
  <si>
    <t>A Software Reference Architecture for the Design and Development of Mobile Workflow Learning Applications</t>
  </si>
  <si>
    <t>SAR4DDMWLA</t>
  </si>
  <si>
    <t>E. Castelán, M.A. Brigos, J. Fernández</t>
  </si>
  <si>
    <t>8th International Technology, Education and Development Conference</t>
  </si>
  <si>
    <t>March 2014</t>
  </si>
  <si>
    <t>6351-6360</t>
  </si>
  <si>
    <t>IATED</t>
  </si>
  <si>
    <t xml:space="preserve">A Reuse-Based Economic Model for Software Reference Architectures </t>
  </si>
  <si>
    <t>RBEMSRA</t>
  </si>
  <si>
    <t>Silverio Martínez-Fernández, Claudia Ayala, Xavier Franch</t>
  </si>
  <si>
    <t>https://hdl.handle.net/2117/16970</t>
  </si>
  <si>
    <t>ESSI-TR-12-6</t>
  </si>
  <si>
    <t>Universitat Politècnica de Catalunya</t>
  </si>
  <si>
    <t>Reference architecture knowledge representation: an experience</t>
  </si>
  <si>
    <t>RAKRE</t>
  </si>
  <si>
    <t>Elisa Yumi Nakagawa, José Carlos Maldonado</t>
  </si>
  <si>
    <t>SHARK '08: Proceedings of the 3rd international workshop on Sharing and reusing architectural knowledge</t>
  </si>
  <si>
    <t>51-54</t>
  </si>
  <si>
    <t>https://doi.org/10.1145/1370062.1370077</t>
  </si>
  <si>
    <t>Smart environment software reference architecture</t>
  </si>
  <si>
    <t>SESRA</t>
  </si>
  <si>
    <t>2009 Fifth International Joint Conference on INC, IMS and IDC</t>
  </si>
  <si>
    <t>August 2009</t>
  </si>
  <si>
    <t>https://doi.org/10.1109/NCM.2009.115</t>
  </si>
  <si>
    <t>ISBN: 978-1-4244-5209-5</t>
  </si>
  <si>
    <t>A. Fernandez-Montes, J.A. Ortega, J.A. Alvarez, L. Gonzalez-Abril</t>
  </si>
  <si>
    <t>A practice-proven reference architecture for model-based collaborative information systems</t>
  </si>
  <si>
    <t>Adrian Hernandez-Mendez, Felix Michel, Florian Matthes</t>
  </si>
  <si>
    <t>https://doi.org/10.18417/emisa.si.hcm.20</t>
  </si>
  <si>
    <t>International Journal of Conceptual Modeling</t>
  </si>
  <si>
    <t>February 2018</t>
  </si>
  <si>
    <t>PPRAMBCIS</t>
  </si>
  <si>
    <t>ISSN: 1866-3621</t>
  </si>
  <si>
    <t>EMISAJ</t>
  </si>
  <si>
    <t>Software Reference Architectures - Exploring Their Usage and Design in Practice</t>
  </si>
  <si>
    <t>SRAETUDP</t>
  </si>
  <si>
    <t>Samuil Angelov, Jos Trienekens, Rob Kusters</t>
  </si>
  <si>
    <t>https://doi.org/10.1007/978-3-642-39031-9_2</t>
  </si>
  <si>
    <t>ISBN: 978-3-642-39031-9</t>
  </si>
  <si>
    <t>17-24</t>
  </si>
  <si>
    <t>A software reference architecture for journalistic knowledge platforms</t>
  </si>
  <si>
    <t>SRAJKP</t>
  </si>
  <si>
    <t>Marc Gallofré Ocaña, Andreas L. Opdahl</t>
  </si>
  <si>
    <t>Knowledge-BasedSystems</t>
  </si>
  <si>
    <t>https://doi.org/10.1016/j.knosys.2023.110750</t>
  </si>
  <si>
    <t>September 2023</t>
  </si>
  <si>
    <t>ISSN: 0950-7051</t>
  </si>
  <si>
    <t>UEAMRAI40</t>
  </si>
  <si>
    <t>Miguel Paiva, André Vasconcelos and Bruno Fragoso</t>
  </si>
  <si>
    <t>ICEIS 2020- 22nd International Conference on Enterprise Information Systems</t>
  </si>
  <si>
    <t>709-716</t>
  </si>
  <si>
    <t>https://doi.org/10.5220/0009194307090716</t>
  </si>
  <si>
    <t>ISBN: 978-989-758-423-7</t>
  </si>
  <si>
    <t>ScitePress</t>
  </si>
  <si>
    <t>Using Enterprise Architecture to Model a Reference Architecture for Industry 4.0</t>
  </si>
  <si>
    <t xml:space="preserve">A Survey on Determining Factors for Modeling Reference Architectures </t>
  </si>
  <si>
    <t>SDFMRA</t>
  </si>
  <si>
    <t xml:space="preserve">Camelia Maga, Nasser Jazdi </t>
  </si>
  <si>
    <t>Universität Stuttgart</t>
  </si>
  <si>
    <t>http://industrialized-software.wdfiles.com/local--files/kiss-oopsla-2009/maga.pdf</t>
  </si>
  <si>
    <t>A Software Reference Architecture for Service-Oriented 3D Geovisualization Systems</t>
  </si>
  <si>
    <t>SRA4SO3DGS</t>
  </si>
  <si>
    <t>Dieter Hildebrandt</t>
  </si>
  <si>
    <t>https://doi.org/10.3390/ijgi3041445</t>
  </si>
  <si>
    <t>December 2014</t>
  </si>
  <si>
    <t>https://www.mdpi.com/2220-9964/3/4/1445</t>
  </si>
  <si>
    <t>1445-1490</t>
  </si>
  <si>
    <t>ISSN: 2220-9964</t>
  </si>
  <si>
    <t>ISPRS International Journal of Geo-Information</t>
  </si>
  <si>
    <t>Hasso-Plattner-Institute</t>
  </si>
  <si>
    <t>Refining a Reference Architecture for Model-Driven Business Apps</t>
  </si>
  <si>
    <t>RRA4MDBA</t>
  </si>
  <si>
    <t>Jan Ernsting, Christoph Rieger, Fabian Wrede, Tim A. Majchrzak</t>
  </si>
  <si>
    <t>ISBN: 978-989-758-186-1</t>
  </si>
  <si>
    <t>12th International Conference on Web Information Systems and Technologies (WEBIST 2016)</t>
  </si>
  <si>
    <t xml:space="preserve"> 307-316</t>
  </si>
  <si>
    <t>https://www.scitepress.org/papers/2016/58621/58621.pdf</t>
  </si>
  <si>
    <t>The Development of a Reference Architecture for Local Government</t>
  </si>
  <si>
    <t>DRALG</t>
  </si>
  <si>
    <t>Marijn Janssen, Anthony Cresswell</t>
  </si>
  <si>
    <t>Proceedings of the 38th Hawaii International Conference on System Sciences</t>
  </si>
  <si>
    <t>ISBN: 0-7695-2268-8</t>
  </si>
  <si>
    <t>https://doi.org/10.1109/HICSS.2005.588</t>
  </si>
  <si>
    <t>A Reference Architecture for Instructional Educational Software</t>
  </si>
  <si>
    <t>RA4IES</t>
  </si>
  <si>
    <t xml:space="preserve">Janelle Pollard, Roger Duke </t>
  </si>
  <si>
    <t>Australian Computer Society</t>
  </si>
  <si>
    <t>September 2005</t>
  </si>
  <si>
    <t>https://d1wqtxts1xzle7.cloudfront.net/123619383/CRPITV46Pollard-libre.pdf?1751750417=&amp;response-content-disposition=inline%3B+filename%3DA_reference_architecture_for_instruction.pdf&amp;Expires=1772068116&amp;Signature=N6~gzwZTKvZZoHlILDEJXnITpCqZa5k9MYjDO-tD-EaqwPXNpMJwn~OuHl4a3hrpv-d0Eo-~Z1pDlLextYVzs3Fno2Xm3MNeC9cffYi9wNVbfDbMT~ygtcUBgFY22ML7qm6EVWZ2pBkwfkIAvIkmcmRSho4E3mYpjVjjZj9KQgY866r6hN3T6ecgrYKv7UVjY60FcaXEp3t1NNmBqCbcDeoKx1ccB9xIFFEd5693Ff3lt~4q1WppnMulNq7V0X3Thg~2ZTfghJZ91kvWe6JLweXixuyuBuaJxefY9DcnHcBmIUyjj5sY480voo22EjRbSkkqKRG5fcbLvv75ohiFFw__&amp;Key-Pair-Id=APKAJLOHF5GGSLRBV4ZA</t>
  </si>
  <si>
    <t>South East Asia Regional Computer Confederation (SEARCC) 2005: ICT: Building Bridges Conference</t>
  </si>
  <si>
    <t>IEI40RA</t>
  </si>
  <si>
    <t>June 2019</t>
  </si>
  <si>
    <t>37-44</t>
  </si>
  <si>
    <t>https://doi.org/10.1016/j.compind.2019.02.007</t>
  </si>
  <si>
    <t>Richard Sharpe, Katherine van Lopik, Aaron Neal, Paul Goodall, Paul P. Conway, Andrew A. West</t>
  </si>
  <si>
    <t>ISSN: 0166-3615</t>
  </si>
  <si>
    <t>An industrial evaluation of an Industry 4.0 reference architecture demonstrating the need for the inclusion of security and human components</t>
  </si>
  <si>
    <t>Designing a Reference Architecture for the C-ITS Services</t>
  </si>
  <si>
    <t>DRA4CITS</t>
  </si>
  <si>
    <t>Priyanka Karkhanis, Yanja Dajsuren, Mark van den Brand</t>
  </si>
  <si>
    <t>117-132</t>
  </si>
  <si>
    <t>https://doi.org/10.1007/978-3-031-42592-9_8</t>
  </si>
  <si>
    <t>ISBN: 978-3-031-42592-9</t>
  </si>
  <si>
    <t>A reference architecture for deploying component-based robot software and comparison with existing tools</t>
  </si>
  <si>
    <t>RA4DCBRS</t>
  </si>
  <si>
    <t>Nico Hochgeschwender, Geoffrey Biggs, Holger Voos</t>
  </si>
  <si>
    <t>2018 Second IEEE International Conference on Robotic Computing (IRC)</t>
  </si>
  <si>
    <t>January 2018</t>
  </si>
  <si>
    <t>https://doi.org/10.1109/IRC.2018.00026</t>
  </si>
  <si>
    <t>ISBN: 978-1-5386-4652-6</t>
  </si>
  <si>
    <t>121-128</t>
  </si>
  <si>
    <t>CERA: a collaborative environment reference architecture for interoperable CWE systems</t>
  </si>
  <si>
    <t>CERA</t>
  </si>
  <si>
    <t>Vassilios Peristeras, Manuel Fradinho, Deirdre Lee, Wolfgang Prinz, Rudolf Ruland, Kashif Iqbal, Stefan Decker</t>
  </si>
  <si>
    <t>https://doi.org/10.1007/s11761-009-0040-0</t>
  </si>
  <si>
    <t>March 2009</t>
  </si>
  <si>
    <t>Service Oriented Computing and Applications</t>
  </si>
  <si>
    <t>3-23</t>
  </si>
  <si>
    <t>Reference Architecture for Project, Program and Portfolio Governance</t>
  </si>
  <si>
    <t>RAPPPG</t>
  </si>
  <si>
    <t>Gonçalo Cordeiro, André Vasconcelos, Bruno Fragoso</t>
  </si>
  <si>
    <t>https://doi.org/10.1007/978-3-030-75418-1_37</t>
  </si>
  <si>
    <t>ISBN: 978-3-030-75417-4</t>
  </si>
  <si>
    <t>Enterprise Information Systems</t>
  </si>
  <si>
    <t>May 2021</t>
  </si>
  <si>
    <t>804-832</t>
  </si>
  <si>
    <t>Reference Architecture for Collaborative Working Environments in Rural Areas</t>
  </si>
  <si>
    <t>RA4CWERA</t>
  </si>
  <si>
    <t>ISBN: 978-84-693-0040-4</t>
  </si>
  <si>
    <t>TRAGSA and FAO</t>
  </si>
  <si>
    <t>https://www.researchgate.net/profile/Hans-Schaffers/publication/230730354_Living_Labs_for_Enhancing_Innovation_and_Rural_development_Methodology_and_Implementation/links/5cc95be5a6fdcc1d49bc64fb/Living-Labs-for-Enhancing-Innovation-and-Rural-development-Methodology-and-Implementation.pdf#page=59</t>
  </si>
  <si>
    <t>Christian Merz, Vilmos Bilicki, Jörg Dörflinger, Mónica Valenzuela Fernández, Javier Garcia Guzman, Petr Horak, Eduardo Jacob, Jasone Astorga, Eduardo Azañón, Vilmos Szűcs</t>
  </si>
  <si>
    <t>Towards a Process to Design Aspect-Oriented Reference Architectures</t>
  </si>
  <si>
    <t>TPDAORA</t>
  </si>
  <si>
    <t>Elisa Yumi Nakagawa, Rafael Messias Martins, Katia Romero Felizardo, José Carlos Maldonado</t>
  </si>
  <si>
    <t>https://clei.org/proceedings_data/CLEI2009/57474.pdf</t>
  </si>
  <si>
    <t>CLEI</t>
  </si>
  <si>
    <t>PBBRABRM</t>
  </si>
  <si>
    <t>Osama M. Khaled, Hoda M. Hosny, Mohamed Shalan</t>
  </si>
  <si>
    <t>https://www.researchgate.net/profile/Osama-Khaled-3/publication/311509419_A_Pervasive_Computing_Business_Reference_Architecture_The_Basic_Requirements_Model/links/591af3dbaca272fa34dbb634/A-Pervasive-Computing-Business-Reference-Architecture-The-Basic-Requirements-Model.pdf</t>
  </si>
  <si>
    <t>International Journal of Software Engineering</t>
  </si>
  <si>
    <t>A Pervasive Computing Business Reference Architecture: The Basic Requirements Model</t>
  </si>
  <si>
    <t>Identifying Reference Architecture Types for Stakeholder Groups in Industry 4.0</t>
  </si>
  <si>
    <t>IRAT4SGI40</t>
  </si>
  <si>
    <t>Sarah Riedmann, Christoph Binder, Christian Neureiter</t>
  </si>
  <si>
    <t>https://www.en-trust.at/papers/Riedmann24c.pdf</t>
  </si>
  <si>
    <t>34th Annual INCOSE International Symposium</t>
  </si>
  <si>
    <t>https://doi.org/10.1002/iis2.13199</t>
  </si>
  <si>
    <t>1119-1134</t>
  </si>
  <si>
    <t>INCOSE</t>
  </si>
  <si>
    <t>An Approach for Capturing and Documenting Architectural Decisions of Reference Architectures</t>
  </si>
  <si>
    <t>A4CDADRA</t>
  </si>
  <si>
    <t>162-167</t>
  </si>
  <si>
    <t>SEKE</t>
  </si>
  <si>
    <t>Secure Vehicle Software Updates: Requirements for a Reference Architecture</t>
  </si>
  <si>
    <t>SVSUR4RA</t>
  </si>
  <si>
    <t>Kim Strandberg, Ulf Arnljung, Tomas Olovsson, Dennis Kengo Oka</t>
  </si>
  <si>
    <t>https://doi.org/10.1109/VTC2023-Spring57618.2023.10199410</t>
  </si>
  <si>
    <t>TCBRA4OOPE</t>
  </si>
  <si>
    <t>Jaak Tepandi, Eric Grandry, Sander Fieten, Carmen Rotuna, Giovanni Paolo Sellitto, Dimitris Zeginis, Dirk Draheim, Gunnar Piho, Efthimios Tambouris, Konstantinos Tarabanis</t>
  </si>
  <si>
    <t>https://inria.hal.science/hal-03231361v1</t>
  </si>
  <si>
    <t>https://doi.org/10.1007/978-3-030-35151-9_7</t>
  </si>
  <si>
    <t>103-117</t>
  </si>
  <si>
    <t>November 2019</t>
  </si>
  <si>
    <t>LNBIP-369</t>
  </si>
  <si>
    <t>Towards a Cross-Border Reference Architecture for the Once-Only Principle in Europe: An Enterprise Modelling Approach</t>
  </si>
  <si>
    <t>Keyword-based Search over Databases: A Roadmap for a Reference Architecture Paired with an Evaluation Framework</t>
  </si>
  <si>
    <t>KBSOD</t>
  </si>
  <si>
    <t>Sonia Bergamaschi, Nicola Ferro, Francesco Guerra, Gianmaria Silvello</t>
  </si>
  <si>
    <t>https://doi.org/10.1007/978-3-662-49521-6 1</t>
  </si>
  <si>
    <t>LNCS 9630</t>
  </si>
  <si>
    <t>1-20</t>
  </si>
  <si>
    <t>ISBN: 978-3-662-49521-6</t>
  </si>
  <si>
    <t>A reference architecture for serverless big data processing</t>
  </si>
  <si>
    <t>RA4SBDP</t>
  </si>
  <si>
    <t>https://doi.org/10.1016/j.future.2024.01.029</t>
  </si>
  <si>
    <t>Sebastian Werner, Stefan Tai</t>
  </si>
  <si>
    <t>June 2024</t>
  </si>
  <si>
    <t>179-192</t>
  </si>
  <si>
    <t>ISSN: 0167-739X</t>
  </si>
  <si>
    <t>On Creating Industry-Wide Reference Architectures</t>
  </si>
  <si>
    <t>OCIWRA</t>
  </si>
  <si>
    <t>ISBN: 978-0-7695-3373-5</t>
  </si>
  <si>
    <t>Liming Zhu, Mark Staples, Vladimir Tosic</t>
  </si>
  <si>
    <t>http://doi.org/10.1109/EDOC.2008.14</t>
  </si>
  <si>
    <t>2008 12th International IEEE Enterprise Distributed Object Computing Conference</t>
  </si>
  <si>
    <t>September 2008</t>
  </si>
  <si>
    <t>24-30</t>
  </si>
  <si>
    <t>A Reference Architecture for Reverse Logistics in the High-Tech Industry</t>
  </si>
  <si>
    <t>RA4RLHTI</t>
  </si>
  <si>
    <t>Rianne Simons, Rik Eshuis, Baris Ozkan</t>
  </si>
  <si>
    <t xml:space="preserve">https://doi.org/10.1016/j.cie.2024.110368 </t>
  </si>
  <si>
    <t xml:space="preserve">Computers &amp; Industrial Engineering </t>
  </si>
  <si>
    <t>August 2024</t>
  </si>
  <si>
    <t>ISSN: 0360-8352</t>
  </si>
  <si>
    <t>A review of edge computing reference architectures and a new global edge proposal</t>
  </si>
  <si>
    <t>RECRA</t>
  </si>
  <si>
    <t>Inés Sittón-Candanedo, Ricardo S. Alonso, Juan M. Corchado, Sara Rodríguez-González, Roberto Casado-Vara</t>
  </si>
  <si>
    <t>October 2019</t>
  </si>
  <si>
    <t>278-294</t>
  </si>
  <si>
    <t>https://doi.org/10.1016/j.future.2019.04.016</t>
  </si>
  <si>
    <t>Life cycle cost analysis at scale: a reference architecture-based approach</t>
  </si>
  <si>
    <t>LCCASRABA</t>
  </si>
  <si>
    <t>Conor Shaw, Flavia de Andrade Pereira, Karim Farghaly, Cathal Hoare, Timo Hartmann, James O’Donnell</t>
  </si>
  <si>
    <t>Built Environment Project and
Asset Management</t>
  </si>
  <si>
    <t>713-733</t>
  </si>
  <si>
    <t>Emerald Publishing Limited</t>
  </si>
  <si>
    <t>https://www.emerald.com/bepam/article/14/5/713/1236228/Life-cycle-cost-analysis-at-scale-a-reference</t>
  </si>
  <si>
    <t>https://doi.org/10.1108/BEPAM-07-2023-0132</t>
  </si>
  <si>
    <t>ISSN: 2044-124X</t>
  </si>
  <si>
    <t>A Reference Architecture for Digital Product Passports at Batch Level to Support Manufacturing Supply Chains</t>
  </si>
  <si>
    <t>RA4DPPBL</t>
  </si>
  <si>
    <t>307-323</t>
  </si>
  <si>
    <t xml:space="preserve">Malina Wiesner, João Moreira, Renata Guizzardi, Paul Scholz </t>
  </si>
  <si>
    <t>https://doi.org/10.1007/978-3-031-59465-6_19</t>
  </si>
  <si>
    <t>ISBN: 978-3-031-59465-6</t>
  </si>
  <si>
    <t>AIoTES: Setting the principles for semantic interoperable and modern IoT-enabled reference architecture for Active and Healthy Ageing ecosystems</t>
  </si>
  <si>
    <t>Clara I. Valero, Alejandro M. Medrano Gil, Regel Gonzalez-Usach, Matilde Julian, Giuseppe Fico, Maria Teresa Arredondo, Thanos G. Stavropoulos, Dimitrios Strantsalis, Antonis Voulgaridis, Felipe Roca, Antonio J. Jara, Martín Serrano, Achille Zappa, Yasar Khan, Sergio Guillen, Pilar Sala, Andreu Belsa, Konstantinos Votis, Carlos E. Palau</t>
  </si>
  <si>
    <t>https://doi.org/10.1016/j.comcom.2021.06.010</t>
  </si>
  <si>
    <t>Computer Communications</t>
  </si>
  <si>
    <t>September 2021</t>
  </si>
  <si>
    <t>96-111</t>
  </si>
  <si>
    <t>ISSN: 0140-3664</t>
  </si>
  <si>
    <t>AIOTES</t>
  </si>
  <si>
    <t>A Reference Architecture to Devise Web Information Extractors</t>
  </si>
  <si>
    <t>RADWIE</t>
  </si>
  <si>
    <t>Hassan A. Sleiman, Rafael Corchuelo</t>
  </si>
  <si>
    <t>235-248</t>
  </si>
  <si>
    <t>Advanced Information Systems Engineering Workshops</t>
  </si>
  <si>
    <t>https://doi.org/10.1007/978-3-642-31069-0_21</t>
  </si>
  <si>
    <t>ISBN: 978-3-642-31069-0</t>
  </si>
  <si>
    <t>Privacy-Friendly Sharing of Health Data Using a Reference Architecture for Health Data Spaces</t>
  </si>
  <si>
    <t>PFSHDURA</t>
  </si>
  <si>
    <t>Amir Shayan Ahmadian, Sebastian Franke, Charly Gnoguem, Jan Juerjens</t>
  </si>
  <si>
    <t>eSAAM 2024: Proceedings of the 4th Eclipse Security, AI, Architecture and Modelling Conference on Data Space</t>
  </si>
  <si>
    <t>October 2024</t>
  </si>
  <si>
    <t>https://doi.org/10.1145/3685651.368565</t>
  </si>
  <si>
    <t>RAEB2BCSES</t>
  </si>
  <si>
    <t>http://hdl.handle.net/10138/27938</t>
  </si>
  <si>
    <t>A Reference Architecture for Electronic Business-to-Business Collaboration Setup and Enactment Systems</t>
  </si>
  <si>
    <t>Reference architectures for privacy preservation in cloud-based IoT applications</t>
  </si>
  <si>
    <t>RA4PPCCIOTA</t>
  </si>
  <si>
    <t>Ivor D. Addo, Sheikh I. Ahamed, Stephen S. Yau, Arun Buduru</t>
  </si>
  <si>
    <t>ISSN: 2330-4472</t>
  </si>
  <si>
    <t>International Journal of Services Computing</t>
  </si>
  <si>
    <t xml:space="preserve">October-December 2014 </t>
  </si>
  <si>
    <t>Hipore</t>
  </si>
  <si>
    <t>CESRAITCF</t>
  </si>
  <si>
    <t>Silverio Martínez-Fernández, David Ameller, Claudia Ayala, Xavier Franch, Xavier Terradellas</t>
  </si>
  <si>
    <t>https://hdl.handle.net/2117/17065</t>
  </si>
  <si>
    <t>Conducting Empirical Studies on Reference Architectures in IT Consulting Firms</t>
  </si>
  <si>
    <t>APIUaaS: a reference architecture for facilitating API usage from a data analytics perspective</t>
  </si>
  <si>
    <t>APIUAAS</t>
  </si>
  <si>
    <t>Jitong Zhao, Yan Liu</t>
  </si>
  <si>
    <t>ISSN: 1751-8806</t>
  </si>
  <si>
    <t>https://doi.org/0.1049/iet-sen.2018.5355</t>
  </si>
  <si>
    <t>466-478</t>
  </si>
  <si>
    <t>Wiley Online Library</t>
  </si>
  <si>
    <t>IET Software</t>
  </si>
  <si>
    <t>A reference architecture for Context-Aware Intelligent Traffic Management Platforms</t>
  </si>
  <si>
    <t>RA4CAITMP</t>
  </si>
  <si>
    <t>Zeenat Rehena, Marijn Janssen</t>
  </si>
  <si>
    <t>International Journal of Electronic Government Research (IJEGR)</t>
  </si>
  <si>
    <t>65-79</t>
  </si>
  <si>
    <t>https://doi.org/doi:10.4018/IJEGR.2018100105</t>
  </si>
  <si>
    <t>METADDT</t>
  </si>
  <si>
    <t>Hanyu Gao, Feng Wang, Taoping Zhao, Yi Gu</t>
  </si>
  <si>
    <t>https://doi.org/10.3390/electronics15010038</t>
  </si>
  <si>
    <t>Electronics</t>
  </si>
  <si>
    <t>MDPI</t>
  </si>
  <si>
    <t>MetaD-DT: A Reference Architecture Enabling Digital Twin Development for Complex Engineering Equipment</t>
  </si>
  <si>
    <t>Environmental-Perception Modeling and Reference Architecture for Cyber Physical Systems</t>
  </si>
  <si>
    <t>EPMRACPS</t>
  </si>
  <si>
    <t>Nianyu Li, Kun Liu, Zhengyin Chen, Wenpin Jiao</t>
  </si>
  <si>
    <t>October 2020</t>
  </si>
  <si>
    <t>https://doi.org/10.1109/ACCESS.2020.3034390</t>
  </si>
  <si>
    <t>ISSN: 2169-3536</t>
  </si>
  <si>
    <t>IEEE Access</t>
  </si>
  <si>
    <t>RA4DTBCIE</t>
  </si>
  <si>
    <t>Tom Meyer, Thorsten Schoormann, Frederik Möller</t>
  </si>
  <si>
    <t>A Reference Architecture for Digital Twin-Based Supply Chain Information Exchange: The PURIS Case</t>
  </si>
  <si>
    <t>https://doi.org/10.18420/inf2025_142</t>
  </si>
  <si>
    <t>Gesellschaft für Informatik e.V.</t>
  </si>
  <si>
    <t>ISSN: 2944-7682</t>
  </si>
  <si>
    <t>Informatik 2025</t>
  </si>
  <si>
    <t xml:space="preserve">A Reference Architecture for Automation of Inter Organizational Process-Oriented Collaboration </t>
  </si>
  <si>
    <t>RA4AIOPOO</t>
  </si>
  <si>
    <t>Mohammad Reza Mollahoseini Ardakani, Seyyed Mohsen Hashemi, Mohammadreza Razzazi</t>
  </si>
  <si>
    <t>Journal of Advances in Computer Research</t>
  </si>
  <si>
    <t>ISSN: 2345-6078</t>
  </si>
  <si>
    <t>83-113</t>
  </si>
  <si>
    <t>JACR</t>
  </si>
  <si>
    <t>Automatic Reference Architecture Conformance Checking for SOA-based Software Systems</t>
  </si>
  <si>
    <t>ARACCSOA</t>
  </si>
  <si>
    <t>Rainer Weinreich, Georg Buchgeher</t>
  </si>
  <si>
    <t>2014 IEEE/IFIP Conference on Software Architecture</t>
  </si>
  <si>
    <t>https://doi.org/10.1109/WICSA.2014.22</t>
  </si>
  <si>
    <t>ISBN: 978-1-4799-3412-6</t>
  </si>
  <si>
    <t>95-104</t>
  </si>
  <si>
    <t>A reference architecture template for software-intensive embedded systems</t>
  </si>
  <si>
    <t>On Software Reference Architectures and Their Application to the Space Domain</t>
  </si>
  <si>
    <t>OSRATASD</t>
  </si>
  <si>
    <t>Marco Panunzio, Tullio Vardanega</t>
  </si>
  <si>
    <t>Safe and Secure Software Reuse</t>
  </si>
  <si>
    <t>144-159</t>
  </si>
  <si>
    <t>https://doi.org/10.1007/978-3-642-38977-1_10</t>
  </si>
  <si>
    <t>ISBN: 978-3-642-38977-1</t>
  </si>
  <si>
    <t>E1: It is a secondary or tertiary study</t>
  </si>
  <si>
    <t>I2: It is peer-reviewed</t>
  </si>
  <si>
    <t>E2: Published before 2005</t>
  </si>
  <si>
    <t>E3: Duplicate paper or earlier versions of the same work</t>
  </si>
  <si>
    <t>E4: Full text not available, or not in English</t>
  </si>
  <si>
    <t>A Reference Architecture for Mobile SOA</t>
  </si>
  <si>
    <t>RA4MSOA</t>
  </si>
  <si>
    <t>Behrouz Sefid-Dashti, Jafar Habibi</t>
  </si>
  <si>
    <t>https://doi.org/10.1111/sys.21279</t>
  </si>
  <si>
    <t>Systems Engineering</t>
  </si>
  <si>
    <t>407-425</t>
  </si>
  <si>
    <t>Multi-criterion Analysis of Reference Architectures and Modeling Languages used in Production Systems Modeling</t>
  </si>
  <si>
    <t>Marius Cioca, Lucian-Ionel Cioca</t>
  </si>
  <si>
    <t>MCARAMLPSM</t>
  </si>
  <si>
    <t>https://doi.org/10.1109/INDIN.2005.1560381</t>
  </si>
  <si>
    <t>INDIN 2005. 2005 3rd IEEE International Conference on Industrial Informatics, 2005</t>
  </si>
  <si>
    <t>August 2005</t>
  </si>
  <si>
    <t>ISBN: 0-7803-9094-6</t>
  </si>
  <si>
    <t>230-233</t>
  </si>
  <si>
    <t>A Reference Architecture for Improving Security and Privacy in Internet of Things Applications</t>
  </si>
  <si>
    <t>RA4ISPIOTA</t>
  </si>
  <si>
    <t>2014 IEEE International Conference on Mobile Services</t>
  </si>
  <si>
    <t>https://doi.org/10.1109/MobServ.2014.24</t>
  </si>
  <si>
    <t>June-July 2014</t>
  </si>
  <si>
    <t>ISBN: 978-1-4799-5060-7</t>
  </si>
  <si>
    <t>108-115</t>
  </si>
  <si>
    <t>F4SRAAR</t>
  </si>
  <si>
    <t>No</t>
  </si>
  <si>
    <t>Journal article</t>
  </si>
  <si>
    <t>Academia</t>
  </si>
  <si>
    <t>YES</t>
  </si>
  <si>
    <t>Conference paper</t>
  </si>
  <si>
    <t>NO</t>
  </si>
  <si>
    <t>Industry</t>
  </si>
  <si>
    <t>Academia-Industry</t>
  </si>
  <si>
    <t>Academia-Research institute</t>
  </si>
  <si>
    <t>Evaluation through expert interviews and a scenario-based evaluation. It includes interview questions.</t>
  </si>
  <si>
    <t>Case study</t>
  </si>
  <si>
    <t>Evaluation of RA by a case study conducted at a large warehouse in the food industry. It includes the questions used for the semi-structured interview.</t>
  </si>
  <si>
    <t>This paper, first, explains IoT reference model recommended by ITU_T. Then, four IOT architecture reference projects (IoT_A, Korean RA, Chinese RA and WSO2) are studied. At the end of the paper, different properties of these models are analyzed and compared. It does not provide an evaluation of a RA.</t>
  </si>
  <si>
    <t>The paper discusses the implementation of the proposed reference architecture in two knowledge management projects (SOAD and SDA). It does not evaluate the RA.</t>
  </si>
  <si>
    <t>Book chapter</t>
  </si>
  <si>
    <t>Research institute</t>
  </si>
  <si>
    <t>Comparative analysis of six use cases for the International Data Space (IDS) Reference Architecture Model. It does not evaluate the RA.</t>
  </si>
  <si>
    <t>ISSN: 0167-9236</t>
  </si>
  <si>
    <t>ISSN: 0164-1212</t>
  </si>
  <si>
    <t>ISSN: 0169-023X</t>
  </si>
  <si>
    <t>ISSN: 2212-8271</t>
  </si>
  <si>
    <t>ISSN: 2214-2126</t>
  </si>
  <si>
    <t>The evaluation of the RA is only planned.</t>
  </si>
  <si>
    <t>ISBN: 978-3-319-49094-6</t>
  </si>
  <si>
    <t>RA for designing cloud-based Tools as a Service (TSPACE). Scenario-based evaluation of the RA. ATAM was also used.</t>
  </si>
  <si>
    <t>The novel architecture concepts are evaluated in sprint reviews, the project reviews and regular discussion, as well as in a research project on integration of big data technologies in the operation of energy networks called NetzDatenStrom, and the integration projects, where each newly developed oK module is adopted to individual DSOs system landscapes. Initial evaluation in the pilot project shows a barrier in using CIM by DSOs, mainly due to unfamiliarity with this set of standards.</t>
  </si>
  <si>
    <t>Security and Privacy</t>
  </si>
  <si>
    <t>The paper provides a short introduction of the Android architecture and presents the internal structure of SQLite databases. It also shows a diagram for a RA for Android Applications, but it does not evaluate the RA.</t>
  </si>
  <si>
    <t>ISSN: 0885-2308</t>
  </si>
  <si>
    <t>Enterprise systems</t>
  </si>
  <si>
    <t>Experiment</t>
  </si>
  <si>
    <t>OTHER (specify)</t>
  </si>
  <si>
    <t>The paper described a RA for code offload in hostile environments and presented two viable implementations along with architectural tradeoffs. However, it does not evaluate the RA.</t>
  </si>
  <si>
    <t>The paper proposes a RA for big data workflow management systems (BDWFMSs). It also presents the DATAVIEW, a big data workflow management system, developed to validate the proposed RA, but it does not evaluate the RA.</t>
  </si>
  <si>
    <t>ISBN: 978-1-5090-2131-4</t>
  </si>
  <si>
    <t>The paper discusses the ASPIRE reference architecture, but it does not evaluate it.</t>
  </si>
  <si>
    <t>This paper proposes a RA to accommodate various operational contexts. It describes the evaluation of the integrity verification of the Target System as part of the SECURA architecture, but it does not provide additional information on the evaluation process. Formal verification of the secure update approach as well as its application to safety compartments promise further interesting directions of research.</t>
  </si>
  <si>
    <t>Symposium paper</t>
  </si>
  <si>
    <t>Conceptual</t>
  </si>
  <si>
    <t>The paper presents a RA for automatic failover between multiple Platform-as-a-Service (PaaS) cloud delivery providers. The evaluation is done via a case study, and a prototype of a web application.</t>
  </si>
  <si>
    <t>ISSN: 0950-5849</t>
  </si>
  <si>
    <t>The paper presents Bolster, a software reference architecture (SRA) for semantic-aware Big Data systems. Its implementation is validated in 3 industrial projects, involving 5 organizations. It presents the questions used in the interviews with practitioners in these organisations.</t>
  </si>
  <si>
    <t>ISBN: 978-1-4503-2523-3</t>
  </si>
  <si>
    <t>Author type</t>
  </si>
  <si>
    <t>1167-1172</t>
  </si>
  <si>
    <t>The paper presents the validation of PERFoRM RA in the context of the production of home appliances. However, it does not evaluate the RA.</t>
  </si>
  <si>
    <t>Book</t>
  </si>
  <si>
    <t>The book describes the evaluation of the initial design of the e-contracting RA previously proposed by Samuil Angelov.  Evaluation of RA using ATAM.</t>
  </si>
  <si>
    <t>906-913</t>
  </si>
  <si>
    <t>Workshop paper</t>
  </si>
  <si>
    <t>ISSN: 0278-6125</t>
  </si>
  <si>
    <t>461-494</t>
  </si>
  <si>
    <t>This paper presents the HORSE framework, developed to act as a RA of a cyber-physical system to integrate various Industry 4.0 technologies and support hybrid manufacturing processes, i.e., processes in which human and robotic workers collaborate. This paper also presents the application and evaluation of the HORSE framework in 10 manufacturing plants across Europe, each with its own characteristics.</t>
  </si>
  <si>
    <t>This paper supposes a RA and agile development method for engineering-platforms via the Process-Driven-Approach (PDA) based on the BPMN-standard and process engines. These concepts are validated by a prototypical implementation of a platform-demonstrator for tool-supported planning of robot-based automation solutions. To qualitatively validate the results, the architecture, development method and prototype were presented to and discussed with several stakeholders. However, the paper does nor addreess the evaluation of the RA.</t>
  </si>
  <si>
    <t>ISSN: 0278-612</t>
  </si>
  <si>
    <t>1090-1095</t>
  </si>
  <si>
    <t>Survey</t>
  </si>
  <si>
    <t>The paper proposes a RA for datacenter schedulers. To demonstrate
the validity of the RA, it is mapped to 14 state-of-the-art datacenter schedulers. However, the RA is not evaluated as such.</t>
  </si>
  <si>
    <t>This paper proposes a RA, not only for developers to cite but also for practitioners to conceptualize their experimentation process. An implementation of the architecture is summarized as a case study, but the RA is not evaluated.</t>
  </si>
  <si>
    <t>Evaluation of RA based on SAAM.</t>
  </si>
  <si>
    <t>ISSN: 2214-5796</t>
  </si>
  <si>
    <t>Evaluation of the constructed architecture with a real big data use case is left for future work.</t>
  </si>
  <si>
    <t>Industry-Research institute</t>
  </si>
  <si>
    <t>This paper reports on the reference model zero architecture, as emerged from the MPEG Call for Proposals (CfP) and the subsequent evaluation of the submissions. However, it does not evaluate the RA.</t>
  </si>
  <si>
    <t>The paper presents the rags (Reference Architecture for Generation Systems) framework: a specification of an abstract Natural Language Generation (NLG) system architecture to support sharing, re-use, comparison and evaluation of NLG technologies. However, the RA is not evaluated.</t>
  </si>
  <si>
    <t>Natural Language Generation</t>
  </si>
  <si>
    <t>Web browsers</t>
  </si>
  <si>
    <t>The paper provides a framework for the classification of RAs. Evaluation of RAs for their qualities is performed through ATAM. However, the paper is an earlier version of S42.</t>
  </si>
  <si>
    <t>The paper validates a framework for congruent reference architectures, and its quality as analytical tool, by applying it for the analysis of 24 RAs. Evaluation of RAs for their qualities is performed through ATAM.</t>
  </si>
  <si>
    <t>The paper presents an empirical framework aimed to support the analysis and review of software reference architectures and their use in IT projects by harvesting relevant evidence from the wide spectrum of involved stakeholders.</t>
  </si>
  <si>
    <t>The paper discusses experiences gained during evaluation of the maintainability of a RA in use at Oce, one of the world’s leading copier manufacturers. The evaluation is conducted using SAAM. The paper proposes a variant of SAAM (D-SAAM) that helps to reduce the organisational impact of architecture evaluations.</t>
  </si>
  <si>
    <t>ISSN: 0168-1699</t>
  </si>
  <si>
    <t>Agriculture</t>
  </si>
  <si>
    <t>The paper presents a document template for RAs for the domain of software-intensive embedded systems. The template addresses the somewhat conflicting needs when documenting a RA of readability,
overview, details, evolution and different background of the stakeholders. The quality scenarios serve to analyse and evaluate the chosen quality attributes. The intention is that it shall be possible to evaluate the realised product architecture against the scenarios and determine if they are fulfilled or not. However, the RA is not evaluated.</t>
  </si>
  <si>
    <t>ISBN: 978-9-974-83793-5</t>
  </si>
  <si>
    <t>ISBN: 978-1-424-44984-2</t>
  </si>
  <si>
    <t>ISBN: 978-1-450-31568-5</t>
  </si>
  <si>
    <t>ISBN: 978-8-461-68412-0</t>
  </si>
  <si>
    <t>Future evaluation for the WfLMS iOS application has to be done.</t>
  </si>
  <si>
    <t>Technical report</t>
  </si>
  <si>
    <t>ISBN: 978-1-6055-8038-8</t>
  </si>
  <si>
    <t>397-403</t>
  </si>
  <si>
    <t>This paper intends to contribute with an experience of representing RAs aiming at easily sharing and reusing knowledge in order to develop software systems. A case study on software testing is presented illustrating the authors' experience. However, the RA is not evaluated.</t>
  </si>
  <si>
    <t>IoT</t>
  </si>
  <si>
    <t>This paper focus on the proposal of a RA for developing Smart Applications and deploy them in Smart Environments. However, the RA is not evaluated.</t>
  </si>
  <si>
    <t>This article provides a condensed overview of a layered and model-driven system architecture that empowers domain experts to set up and customize collaborative information systems without programming
based on layered business-oriented conceptual models. It also explains the rationale behind this architecture, and argues to consider it as a RA for model-based collaborative information systems in general. However, it does not evaluate it.</t>
  </si>
  <si>
    <t>Media (journalists)</t>
  </si>
  <si>
    <t>This article proposes a software RA for integrating artificial intelligence and knowledge bases to support journalists and newsrooms. The article mentions the required qualities for the SRA, and the architectural principles.</t>
  </si>
  <si>
    <t>This research uses the Reference Architecture Model of Industry 4.0 (RAMI4.0) and Industry 4.0 Component Model as ingredients for a reference architecture modelled using Enterprise Architecture (EA). RAMI4.0 EA is modelled using Archimate by producing a mapping between the Archimate and RAMI4.0 concepts. In order to assess the proposed solution some viewpoints of an organisation’s EA are developed (4 layers, 4 viewpoints). However, the RA is not evaluated.</t>
  </si>
  <si>
    <t>The paper describes the development of a reference enterprise
architecture for a municipality using action research. However, the RA is not evaluated.</t>
  </si>
  <si>
    <t>The paper addresses the adoption of a reusable architectural design for instructional educational software which allows easy customisation of software to meet the specific needs of individual teachers. The RA was tested by interviewing a collection of high school teachers to
determine what modification to the software would they require in order for them to consider using the product. The testing was done with the aim of upgrading the RA. However, the RA is not evaluated.</t>
  </si>
  <si>
    <t>This paper presents a method for developing a C-ITS reference
architecture, involving three essential parts: abstracting common
C-ITS systems, describing them using an architecture framework, and
reviewing the RA. Existing evaluation methods for software architecture e.g., ATAM, SAAM may not be suitable for evaluating the RA of C-ITS services. Therefore, further study is needed to develop a more nuanced evaluation approach specifically for RAs in this field.</t>
  </si>
  <si>
    <t>This article discusses the problem of deploying component-based software for a robotic system, including both the initial deployment and re-deployment at run-time to account for changing requirements and conditions. The evaluation identifies a set of core roles found in the deployment activity, and based on this a RA for a set of tools that satisfy the deployment activity is proposed. However, the RA is not evaluated. In future work the authors will implement and evaluate the RA for robotic scenarios where redeployment of component-based robotic software at run-time is desirable.</t>
  </si>
  <si>
    <t>Robotic systems</t>
  </si>
  <si>
    <t>The paper presents the collaborative environment reference architecture (CERA) with the aim of supporting collaborative work environment (CWE) interoperability. The paper presents user requirements and use cases. It also presents the CERA evaluation methodology.</t>
  </si>
  <si>
    <t>The paper presents a platform for advanced Collaborative Working Environments (CWEs) that follows the principles of an Open Service Oriented Architecture (OSOA). However, the RA is not evaluated.</t>
  </si>
  <si>
    <t>Visual mining</t>
  </si>
  <si>
    <t>The paper presents a novel business RA which addresses the basic business requirements to build a pervasive computing system by exploring 11 basic quality features and defining their requirements model. It has a detailed trade-off analysis for the selected quality features which guides the user while making decisions on real projects.</t>
  </si>
  <si>
    <t>The paper focuses on securing the vehicle software update process. Contributions include defining an attacker model and general security requirements. These requirements were then mapped to common security goals and directives to ensure broad coverage. Additionally, the paper presents UniSUF, a secure and versatile approach to vehicle software updates. Entities involved during vehicle software updates are identified, a threat assessment is performed, and the identified threats to security goals and requirements are mapped. The results highlight a secure framework with high industrial relevance that can be used as a RA to guide securing similar software update systems within automotive and related areas such as cyber-physical systems, internet-of-things, and smart cities. However, the RA is not evaluated.</t>
  </si>
  <si>
    <t>Lecture Notes in Business Information Processing</t>
  </si>
  <si>
    <t>Government (municipality)</t>
  </si>
  <si>
    <t>Government (public administrations)</t>
  </si>
  <si>
    <t>Transactions on Computational Collective Intelligence XXI: Special Issue on Keyword Search and Big Data</t>
  </si>
  <si>
    <t>This paper motivates the need for a RA for keyword search in databases to favor the development of scalable and effective components, also borrowing methods from neighbor fields, such as information retrieval and natural language processing. The paper also presents the steps (task level, effectiveness level, and system level) of the evaluation methodology for the RA. However, the evaluation of the RA is not performed.</t>
  </si>
  <si>
    <t>This article is a review of the Edge Computing technology and its RAs. It presents a proposal for a tiered architecture with a modular approach that allows to manage the complexity of solutions. The main contributions of the proposed architecture reside in the security and privacy provided by blockchain technologies. The proposed RA is tested by building an IoT platform in a smart agroindustry scenario. However, the RA is not evaluated.</t>
  </si>
  <si>
    <t>RCIS 2024</t>
  </si>
  <si>
    <t>LNBIP 513</t>
  </si>
  <si>
    <t>This article presents ACTIVAGE IoT Ecosystem Suite (AIoTES), a concrete RA and its implementation process. AIoTES has been successfully validated by testing all of its components, individually, integrated, and in real-world environments with 4345 direct users. Each validation is contextualized in 11 Deployment Sites (DS) with 13 Validation Scenarios covering the heterogeneity of the AHA-IoT needs. However, the evaluation of the RA is not provided.</t>
  </si>
  <si>
    <t>ISBN: 979-8-400-70984-5</t>
  </si>
  <si>
    <t>103-112</t>
  </si>
  <si>
    <t>Alex Norta, Paul Grefen, Samuil Angelov, Lea Kutvonen</t>
  </si>
  <si>
    <t xml:space="preserve">This is a work-in-progress paper. </t>
  </si>
  <si>
    <t>Thesis</t>
  </si>
  <si>
    <t>Cyber-physical systems</t>
  </si>
  <si>
    <t>The paper proposes a five-tier RA. The RA is evaluated with a case study on a widely used smart room environment, demonstrating its broad applicability and the ability to reuse environmental information. The survey questions are also provided.</t>
  </si>
  <si>
    <t>Lecture Notes in Informatics (LNI)</t>
  </si>
  <si>
    <t>This paper derives distributed service-oriented RA for interorganizational process-oriented collaboration support system from the conceptual architectures of several research projects in collaborative networks domain that covers both the Inter-Organizational Collaborations (IOCs) establishment and management systematically. However, the evaluation of RA is not provided.</t>
  </si>
  <si>
    <t>LNCS 7925</t>
  </si>
  <si>
    <t>Space (satellite systems)</t>
  </si>
  <si>
    <t>The paper presents a survey of 26 mobile SOA patterns and proposes mobile SOA RA that extends Open Group SOA RA based on the catalogue of mobile SOA patterns proposed in this paper. Evaluations are made and discussed for both RA and its possible instantiation.</t>
  </si>
  <si>
    <t>This paper presents a novel RA for digital twin-based supply chain information sharing. However, the evaluation of the RA is not provided.</t>
  </si>
  <si>
    <t>This paper presents a SRA for building cloud-enabled IoT applications in support of collaborative pervasive systems aimed at achieving trustworthiness among end-users in IoT scenarios. The paper is a an earlier version of S91.</t>
  </si>
  <si>
    <t>Research type used in evaluation</t>
  </si>
  <si>
    <t>Specific evaluation method</t>
  </si>
  <si>
    <t>Atefeh Torkaman, M.A. Seyyedi</t>
  </si>
  <si>
    <t>Smart manufacturing / Industry 4.0</t>
  </si>
  <si>
    <t>Semi-structured interview</t>
  </si>
  <si>
    <t>No evaluation</t>
  </si>
  <si>
    <t>Healthcare</t>
  </si>
  <si>
    <t>Scenario-based evaluation, ATAM</t>
  </si>
  <si>
    <t>Cloud computing</t>
  </si>
  <si>
    <t>Interview</t>
  </si>
  <si>
    <t>eSourcing Reference Architecture (eSRA) that emerges from B2B-research projects. The evaluation was performed in two workshops with participants from industry and academia. Evaluation of RA using ATAM.</t>
  </si>
  <si>
    <t>Workshops, paper-based evaluation</t>
  </si>
  <si>
    <t>Mobile learning</t>
  </si>
  <si>
    <t>Scenario-based evaluation, SAAM</t>
  </si>
  <si>
    <t>ISBN: 978-1-5090-4793-2</t>
  </si>
  <si>
    <t>PERFoRM reference architecture.Validation of the Data Analytics tool using test cases. However, the validation of the RA is not provided.</t>
  </si>
  <si>
    <t>Cyber ranges</t>
  </si>
  <si>
    <t>Autonomous systems</t>
  </si>
  <si>
    <t>NIST, ECSO guidelines, MCDA</t>
  </si>
  <si>
    <t>Checklists</t>
  </si>
  <si>
    <t>Cross domain / Generic</t>
  </si>
  <si>
    <t>Scenario-based evaluation</t>
  </si>
  <si>
    <t>Scenario-based evaluation, interviews</t>
  </si>
  <si>
    <t>Energy</t>
  </si>
  <si>
    <t>Sprint reviews, project reviews, and regular discussion</t>
  </si>
  <si>
    <t>ViProMiRA reference architecture. Evakuated by 12 use cases.</t>
  </si>
  <si>
    <t>Use cases</t>
  </si>
  <si>
    <t>Artificial intelligence</t>
  </si>
  <si>
    <t>ASPIRE reference architecture.</t>
  </si>
  <si>
    <t>ATAM, interviews</t>
  </si>
  <si>
    <t>A secure cloud RA for measuring instruments: Cloud Computing RA. The general approach of RA was evaluated (e.g. fully homomorphic encryption), but at a low level.</t>
  </si>
  <si>
    <t>Android smartphones</t>
  </si>
  <si>
    <t>Interviews</t>
  </si>
  <si>
    <t>The paper presents a RA for online speech therapy systems (OSTSs). The RA is evaluated by an industrial case study. It includes the guestions used for the interviews.</t>
  </si>
  <si>
    <t>User acceptance tests</t>
  </si>
  <si>
    <t>Showcase</t>
  </si>
  <si>
    <t>The paper introduces a RA model that serves as a specification for a model-based engineering environment, but it does not evaluate it.</t>
  </si>
  <si>
    <t>Big Data / Analytics</t>
  </si>
  <si>
    <t>The ESARC (Enterprise Software Architecture Reference
Model), the SOAMMI framework and the related architecture quality ESA-Patterns were applied in several assessment workshops with vendors of service oriented platforms. However, the RA is not evaluated.</t>
  </si>
  <si>
    <t>Software security</t>
  </si>
  <si>
    <t>Prototype, experiment</t>
  </si>
  <si>
    <t>Questionnaire</t>
  </si>
  <si>
    <t>ATAM</t>
  </si>
  <si>
    <t>ATAM, workshops</t>
  </si>
  <si>
    <t>In this paper, the authors measured the scalability of Horovod, a distributed deep learning framework (available as a RA) with different parameters on the research infrastructure called ELKH Cloud. The evaluation of a distributed deep learning (DDL) framework is performed at a low level.</t>
  </si>
  <si>
    <t>The paper presents a RA for designing social media intelligence (SMI) solutions. In addition, the authors showcase two key case studies for SMI applications built on this architecture. In evaluating the efficacy of the RA model, the following criteria were used: Goodness of Fit analysis, scalability analysis, and performance analysis. However, this evaluation is performed at a low level.</t>
  </si>
  <si>
    <t>Automotive / Transportation</t>
  </si>
  <si>
    <t>SUMI, NASA TSI</t>
  </si>
  <si>
    <t>Military</t>
  </si>
  <si>
    <t>Scenario-based, SAAM</t>
  </si>
  <si>
    <t>Spatial audio coding</t>
  </si>
  <si>
    <t>Scenario-based</t>
  </si>
  <si>
    <t>The main contribution of this chapter is a RA that draws upon state-of-the-art techniques and practices from software product line engineering and information security and constitutes a decision support framework for security architecture design in software product lines. To validate the RAs, the chapter also presents the authors' experiences from using it at 3 distinct companies.</t>
  </si>
  <si>
    <t>The paper presents a RA for web browsers based on two well known open source implementations, and we validate it against five additional implementations. However, the RA is not evaluated.</t>
  </si>
  <si>
    <t>Adapted version of ATAM, FAAM</t>
  </si>
  <si>
    <t>The paper presents a vision for a method for the evaluation of RAs. For the evaluation of an E-contracting Reference Architecture (ERA), an adapted version of ATAM was used - Family-Architecture Analysis Method (FAAM).</t>
  </si>
  <si>
    <t>SAAM, D-SAAM</t>
  </si>
  <si>
    <t>Delphy study</t>
  </si>
  <si>
    <t>Cost-benefit analysis</t>
  </si>
  <si>
    <t>The paper presents a pragmatic preliminary economic model to perform cost-benefit analysis on the adoption of software reference architectures as key asset for optimizing architectural decision-making. The validation involved a cost-benefit analysis related to reuse and maintenance; other qualities will be incorporated as our research progresses. However, the validation is performed at low level.</t>
  </si>
  <si>
    <t>Mapping-based evaluations, interviews</t>
  </si>
  <si>
    <t>Mapping-based evaluations, prototype testing</t>
  </si>
  <si>
    <t>This paper discusses determining factors for modeling high-quality RAs in industrial automation. Future work focuses on the identification of concrete metrics for determining the quality of different RAs. An example of the evaluation sheet used for the reference architecture in the domain “Elevators” is provided.</t>
  </si>
  <si>
    <t>3D geovisualization</t>
  </si>
  <si>
    <t>The paper describes a refinement of a RA for business apps. However, the evaluation is performed at low level.</t>
  </si>
  <si>
    <t>Education (m-Learning)</t>
  </si>
  <si>
    <t>Education (instructional)</t>
  </si>
  <si>
    <t>The paper presents the evaluation of RAMI4.0 through the representation of industrial scenarios. However, this evaliation is performed at low level.</t>
  </si>
  <si>
    <t>Demonstration, experiment</t>
  </si>
  <si>
    <t>This paper presents ProSA-RA, a process to build aspect-oriented RAs, systematizing the development, design and evaluation of these architectures. Checklist inspection approach is used in order to evaluate the quality of the RAs. Ontologies are important to guide the evaluation, since this step involves, besides domain experts, software architects that do not have deep knowledge about the application domain. However, the evaluation of RA is work in progress.</t>
  </si>
  <si>
    <t>This paper proposes a method to derive more detailed reference architectures based on Reference Architecture Model Industry 4.0 (RAMI 4.0) by making use of model-based systems engineering (MBSE), which target single manufacturing domains rather than the whole industry.Therefore, relevant stakeholders are analyzed and different types of RAs targeting their concerns are identified. To evaluate the applicability of such a RA for actual industrial application, an indus-trial case study is conducted. This simple case study serves as basis for a proof-of-concept RA implementation. In order to fully evaluate the usefulness of RAs a more sophisticated case study needs to be evaluated in the future.</t>
  </si>
  <si>
    <t>The main contribution of this work is to present a systematic approach for capturing and documenting architectural decisions of RA. A case study was conducted to evaluate the architectural description of a RA. However, the evaluation of the RA is performed at low level.</t>
  </si>
  <si>
    <t>The Once-Only Principle states that citizens and businesses provide data only once in contact with public administrations. So far, many European countries have started to implement the Once-Only Principle at national level, but its cross-border implementation is still fragmented and limited.This paper presents the development of a RA for the Once-Only Principle in Europe. Evaluation of the architecture is based on tested use cases and on a model deployment an OOP solution architecture based on TOOPRA. However, the evaluation is done at low level.</t>
  </si>
  <si>
    <t>The paper presents a demonstration and evaluation of CREW. Then, CREW is compared to Apache Spark. For the evaluation, the TPC-H benchmark was used. However, the evaluation of the RA is performed at low level.</t>
  </si>
  <si>
    <t>EPRA</t>
  </si>
  <si>
    <t>The objective of this paper is to design a RA tailored to the high-tech manufacturing sector. The proposed RA encompasses a variety of reverse logistics activities, and is instantiated in the context of a real company case published in the literature and evaluated by domain experts and practitioners in the target industry. The questionnaire is also provided.</t>
  </si>
  <si>
    <t>Expert focus groups</t>
  </si>
  <si>
    <t>This research demonstrates the theoretical merit of a RA-based approach to life cycle cost (LCC) analysis system provision in the built environment. Domain requirements are gathered via literature research as an initial top-down SRA which is refined, bottom-up, through testing and implementation in a representative case study in the IT industry. A prototype IT system and RA artefact are developed and used to evaluate the concept qualitatively through broad practitioner focus groups.</t>
  </si>
  <si>
    <t>The paper presents a RA that supports the development of Digital Product Passports (DPPs) with emphasis on product components at batch level granularity. In the validation step, the primary goal of the Proof of Concept (PoC) is to showcase the proposed architecture’s ability to integrate data. It was followed by a panel of expert validation (survey). However, the RA is not evaluated.</t>
  </si>
  <si>
    <t>The paper presents a RA to design and implement rule learners for web information extractors. However, the the RA is not evaluated.</t>
  </si>
  <si>
    <t>Mapping-based evaluation</t>
  </si>
  <si>
    <t>Scenario-based evaluation, ATAM, workshops</t>
  </si>
  <si>
    <t>Mapping-based evaluation, utility tree</t>
  </si>
  <si>
    <t>This paper presents a RA to support intelligent traffic management system for providing better commute, safety and security during travel based on real-time information. Challenges are evaluated, and solutions provided by RA are presented. However, the evaluation is conducted at low level.</t>
  </si>
  <si>
    <t>This paper proposes MetaD-DT, a RA designed to enable and streamline the development of digital twins specifically for complex
engineering equipment. The MetaD-DT’s efficacy and practical value are validated through two distinct industrial case studies. Mapping of fundamental requirements to MetaD-DT architectural elements and evaluation metrics are provided. However, the RA is not evaluated.</t>
  </si>
  <si>
    <t>Experiment, survey</t>
  </si>
  <si>
    <t>Demonstration, workshops</t>
  </si>
  <si>
    <t>Mapping-based evaluation, quality attributes evaluation</t>
  </si>
  <si>
    <t>The paper presents an approach for automatic RA conformance checking of SOA-based software systems. RAs are defined based on rules consisting of roles and of constraints on roles and role relationships. By mapping the roles to the elements of a software architecture representation, RA specifications are reusable for different software systems. Through automating the whole checking process, including architecture extraction, role mapping, and rule evaluation, the approach can be applied continuously for the different systems that are part of a SOA. However, the RA is not evaluated.</t>
  </si>
  <si>
    <t>This paper discusses the rationale for the understanding and definition of a SRA and present its use in an initiative promoted by the European Space Agency for its future satellite systems. However, the RA is not evaluated.</t>
  </si>
  <si>
    <t>Scenario-based evaluation, ATAM, utility tree, survey</t>
  </si>
  <si>
    <t>The present paper describes, in a pluridisciplinary approach and by means of the multi-attribute decision method, the methods of selecting the RA and modeling languages which are perfect candidates for implementation. A set of six evaluation criteria, as well as a decision table, are also presented. However, the RA is not evaluated.</t>
  </si>
  <si>
    <t>Detailed</t>
  </si>
  <si>
    <t>If evaluation conducted, level of detail</t>
  </si>
  <si>
    <t>Evaluation of RA using SAAM.</t>
  </si>
  <si>
    <t>The construction of the RA follows ISO/IEC 42010. Proposed evaluation using "Angelov, S., Trienekens, J. and Grefen, P. 2008. Towards a Method for the Evaluation of Reference Architectures: Experiences from a Case"</t>
  </si>
  <si>
    <t>Low level</t>
  </si>
  <si>
    <t>The paper presents a RA and a decision process-oriented knowledge metamodel. It also says that the RA and metamodel are implemented in a tool and knowledge base, which have been released to early adopters and validated in a series of live pilots, but it evaluates only value and usability (low level evaluation).</t>
  </si>
  <si>
    <t>The paper proposes a RA for Healthcare Supportive Home (HSH) systems, based on ProSA-RA. The evaluation of RA will be done regarding quality characteristics, architectural description, and architecture design. For this, a checklist inspection approach (see the Reference below) will be used, which guides on detecting defects in documents related to RA. 
Reference: Santos, J. F. M.; Guessi, M.; Galster, M.; Feitosa, D.; Nakagawa, E. Y. A Checklist for Evaluation of Reference Architectures of Embedded Systems. 25th International Conference on Software Engineering and Knowledge Engineering (SEKE), Boston, MA, USA, pp.451–454 (2013)</t>
  </si>
  <si>
    <t>The focus of this work is (a) examination of the feasibility of extending public transportation RA and (b) developing the initial design of such an extension based on a complex real-world case. A demand-oriented in addition to supply-oriented approach to public transportation is one of the proposed features of the reference. The evaluation of the RA used established quality attributes for enterprise architectures.</t>
  </si>
  <si>
    <t>The paper presents the SHOP4CF reference architecture, and its evaluation in 36 real-world industrial cases, organized in three waves. It provides a high-level overview of development of architecture across versions. A formal architecture evaluation approach like ATAM was not used, because this would have complicated the collaboration with the use case owners whose main attention was on their solution. Instead, the authors have relied on an informal version of an action research approach, in which members of the SHOP4CF consortium collaborated closely with the use case owners to collect and record further feedback on the architecture and pass this to the SHOP4CF Architecture Team as requirements for the development of the next version of the architecture However, the paper does not provide enough details on the evaluation process (low level).</t>
  </si>
  <si>
    <t>This paper provides a RA for Farm Software Ecosystems. The evaluation of the RA contains two parts. First the RA was verified based on the requirements. Second, as a conceptual validation the mapping functionality of the RA was tested using two existing Farm Software Ecosystems. These mappings are based on semistructured interview with the CTO’s of AgroSense and Crop-R.</t>
  </si>
  <si>
    <t>The paper presents the results of the exploratory survey conducted among software architects and developers to establish the extent to which SRA have penetrated among practitioners and to identify the benefits and problems practitioners face when using and designing SRA. The paper provides the survey questions, and the number of respondents.</t>
  </si>
  <si>
    <t>The article presents a Software Reference Architecture for Service-Oriented 3D Geovisualization Systems (3DGeoVSs). 5 applications of the SRA provide proofs of concept for the general applicability and utility of the SRA. A qualitative evaluation indicates the overall suitability of the SRA, its applications and the general approach of building 3DGeoVSs based on standards and image-based representations (SSI). The paper provides the set of evaluation criteria, as proposed by Frank.
Reference: Frank, U. Evaluation of Reference Models. In Reference Modeling for Business Systems Analysis; Fettke, P., Loos, P., Eds.; IGI Global: Hershey, PA, USA, 2007; pp. 118–140)</t>
  </si>
  <si>
    <t>This paper presents a RA on projects, programs and portfolios (PPP) governance models. A governance model entails how decisions are made and how actions are carried out, considering organizational values. The required roles, responsibilities, and performance criteria should be an integral part of the governance model for projects,
programs, and portfolios. The paper proposes a RA that allows the comparison of governance models to verify deviations and detect which model best suits the context of an organization. However, the RA is evaluated at low level.</t>
  </si>
  <si>
    <t>The paper presents the creation and evaluation of RAs for the Australian lending industry. To achieve the right level of prescriptiveness, the RAs are deliberately non-structural. Instead, they are based on a set of quality-centric architectural rules. For evaluating this type of rule-based RAs, the existing architecture evaluation methods (e.g. ATAM) for structural architecture can not be used directly. Hence, a new evaluation method was created: Evaluation Process for Rule-based Architecture (EPRA).</t>
  </si>
  <si>
    <t>The paper proposes a comprehensive RA that integrates security/privacy mechanisms to uphold security and privacy requirements of health data. The Eclipse Data Space Connector (EDC) is used as the basis to implement the proposed architecture. To evaluate the correctness of the RA, an excerpt of privacy threats in the PIA report is considered.
Reference: M. Oetzel, S. Spiekermann, I. Grüning, H. Kelter, and S. Mull. 2011. Privacy
impact assessment guideline for RFID applications. German Federal Office for Information Security (BSI) (2011). However, the evaluation is performed at low level.</t>
  </si>
  <si>
    <t>This paper presents the results of a scenario-based evaluation method conducted with the earlier specified eSourcing Architecture (eSA) that generates as results risks, sensitivity, and tradeoff points that must be paid attention to if eSA is implemented. Additionally, the evaluation method detects shortcomings of eSA in terms of integrated components that are required for electronic B2B-collaboration. SAAM is the initial scenario-based evaluation method developed for assessing the quality attributes of a RA. ATAM is based on SAAM and also explores quality attributes. However, differently to SAAM, a greater emphasis is put on the interdependencies between these quality attributes. For this method it is recommended to evaluate in several workshop sessions. The Architecture-Level Modifiability Analysis (ALMA) is developed for assessing the software-architecture modifiability by employing a set of quality indicators. ALMA consists of four steps and commences with setting the analysis goal, followed
by a presentation of the architecture. For completeness, two additional evaluation methods must be mentioned. The Cost-Benefit Analysis Method (CBAM) includes as a criteria the costs that need to be considered among the tradeoffs based on the ratio ”benefit divided by cost”. Finally, the Family-Architecture Assessment Method called (FAAM) is a method for the architecture assessment of information-system families.</t>
  </si>
  <si>
    <t>This paper presents a SRA for building cloud-enabled IoT applications. In addition, it presents a Secure, Private and Trustworthy protocol (named SPTP) that was prototyped for addressing critical security, privacy and trust concerns surrounding mobile, pervasive and cloud services in Collective Intelligence (CI) scenarios. The evaluation criteria for the proposed protocol are also presented. However, the evaluation of the RA is conducted at low level.</t>
  </si>
  <si>
    <t>This study proposes API usage as a service (APIUaaS), a RA for facilitating API usage, which allows infrastructures to be built for recommending proper API code examples based on semi-automatic data analytics. This RA contains 5 logical layers and 6 global-level architectural concerns. Finally, the APIUaaS is evaluated from 3 perspectives: rationality, feasibility, and usability.</t>
  </si>
  <si>
    <t>I1: It discusses evaluation, validation, or assessment of software reference architectures, in detail</t>
  </si>
  <si>
    <t>RA for cyber ranges. Evaluation is meant to measure the extent to which a CR conforms with an assortment of evaluation criteria as defined in the respective NIST and ECSO guidelines. It follows the rubrics of a Multi-Criteria Decision Analysis (MCDA).
Reference: "Belton Valerie, Stewart Theodor. Multiple criteria decision analysis: anintegrated approach. Springer Science &amp; Business Media; 2002"</t>
  </si>
  <si>
    <t>The paper proposes an architecture viewpoint to represent variability in reference architectures. It also presents a case study in order to evaluate the proposed approach regarding its feasibility and usability. The main objective was to identify how the variability viewpoint in uenced the architecture description understandability (low level). As a future work, the authors intend to conduct more case studies and/or experiments in order to completely evaluate their approach.</t>
  </si>
  <si>
    <t>This paper describes the design of an interoperable eHealth RA for primary care and its evaluation with experts (using semi-structured interviews).</t>
  </si>
  <si>
    <t>The paper presents an exploratory case study that investigates the benefits and drawbacks perceived by relevant stakeholders in nine SRAs designed by a multinational software consulting company. The Annex presents the RQs for the study. The overall objective of the study was to provide evidence from different stakeholders about potential benefits and drawbacks of adopting software RAs. However, the RA was not evaluated.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</si>
</sst>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x14ac:knownFonts="1">
    <font>
      <sz val="10"/>
      <color rgb="FF000000"/>
      <name val="Arial"/>
      <scheme val="minor"/>
    </font>
    <font>
      <u/>
      <sz val="10"/>
      <color theme="10"/>
      <name val="Arial"/>
      <family val="2"/>
      <scheme val="minor"/>
    </font>
    <font>
      <b/>
      <sz val="10"/>
      <color theme="1"/>
      <name val="Arial"/>
      <family val="2"/>
      <scheme val="major"/>
    </font>
    <font>
      <sz val="10"/>
      <color rgb="FF000000"/>
      <name val="Arial"/>
      <family val="2"/>
      <scheme val="major"/>
    </font>
    <font>
      <sz val="10"/>
      <name val="Arial"/>
      <family val="2"/>
      <scheme val="major"/>
    </font>
    <font>
      <u/>
      <sz val="10"/>
      <color theme="10"/>
      <name val="Arial"/>
      <family val="2"/>
      <scheme val="major"/>
    </font>
    <font>
      <sz val="10"/>
      <color theme="1"/>
      <name val="Arial"/>
      <family val="2"/>
      <scheme val="major"/>
    </font>
  </fonts>
  <fills count="7">
    <fill>
      <patternFill patternType="none"/>
    </fill>
    <fill>
      <patternFill patternType="gray125"/>
    </fill>
    <fill>
      <patternFill patternType="solid">
        <fgColor theme="7" tint="0.79998168889431442"/>
        <bgColor rgb="FF93C47D"/>
      </patternFill>
    </fill>
    <fill>
      <patternFill patternType="solid">
        <fgColor theme="5" tint="0.79998168889431442"/>
        <bgColor rgb="FFEA9999"/>
      </patternFill>
    </fill>
    <fill>
      <patternFill patternType="solid">
        <fgColor theme="6" tint="0.79998168889431442"/>
        <bgColor indexed="64"/>
      </patternFill>
    </fill>
    <fill>
      <patternFill patternType="solid">
        <fgColor theme="7" tint="0.79998168889431442"/>
        <bgColor theme="7"/>
      </patternFill>
    </fill>
    <fill>
      <patternFill patternType="solid">
        <fgColor theme="5" tint="0.79998168889431442"/>
        <bgColor theme="5"/>
      </patternFill>
    </fill>
  </fills>
  <borders count="4">
    <border>
      <left/>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37">
    <xf numFmtId="0" fontId="0" fillId="0" borderId="0" xfId="0"/>
    <xf numFmtId="0" fontId="1" fillId="0" borderId="0" xfId="1" applyFill="1" applyAlignment="1">
      <alignment horizontal="left" vertical="top"/>
    </xf>
    <xf numFmtId="164" fontId="1" fillId="0" borderId="0" xfId="1" applyNumberFormat="1" applyFill="1" applyAlignment="1">
      <alignment horizontal="left" vertical="top"/>
    </xf>
    <xf numFmtId="0" fontId="2" fillId="0" borderId="0" xfId="0" applyFont="1" applyAlignment="1">
      <alignment wrapText="1"/>
    </xf>
    <xf numFmtId="0" fontId="2" fillId="0" borderId="0" xfId="0" applyFont="1"/>
    <xf numFmtId="49" fontId="2" fillId="0" borderId="0" xfId="0" applyNumberFormat="1" applyFont="1" applyAlignment="1">
      <alignment wrapText="1"/>
    </xf>
    <xf numFmtId="0" fontId="3" fillId="0" borderId="0" xfId="0" applyFont="1"/>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2" xfId="0" applyFont="1" applyBorder="1" applyAlignment="1">
      <alignment vertical="center"/>
    </xf>
    <xf numFmtId="0" fontId="2" fillId="4" borderId="2" xfId="0" applyFont="1" applyFill="1" applyBorder="1" applyAlignment="1">
      <alignment vertical="center" wrapText="1"/>
    </xf>
    <xf numFmtId="49" fontId="2" fillId="0" borderId="2" xfId="0" applyNumberFormat="1" applyFont="1" applyBorder="1" applyAlignment="1">
      <alignment vertical="center" wrapText="1"/>
    </xf>
    <xf numFmtId="0" fontId="4" fillId="0" borderId="0" xfId="0" applyFont="1" applyAlignment="1">
      <alignment horizontal="left" vertical="top" wrapText="1"/>
    </xf>
    <xf numFmtId="0" fontId="4" fillId="0" borderId="0" xfId="0" applyFont="1" applyAlignment="1">
      <alignment horizontal="center" vertical="top" wrapText="1"/>
    </xf>
    <xf numFmtId="0" fontId="5" fillId="0" borderId="0" xfId="1" applyFont="1" applyAlignment="1">
      <alignment horizontal="left" vertical="top"/>
    </xf>
    <xf numFmtId="49" fontId="4" fillId="0" borderId="0" xfId="0" applyNumberFormat="1" applyFont="1" applyAlignment="1">
      <alignment horizontal="left" vertical="top" wrapText="1"/>
    </xf>
    <xf numFmtId="49" fontId="4" fillId="0" borderId="0" xfId="0" applyNumberFormat="1" applyFont="1" applyAlignment="1">
      <alignment horizontal="center" vertical="top" wrapText="1"/>
    </xf>
    <xf numFmtId="0" fontId="4" fillId="0" borderId="0" xfId="0" applyFont="1" applyAlignment="1">
      <alignment horizontal="left" vertical="top"/>
    </xf>
    <xf numFmtId="0" fontId="5" fillId="0" borderId="0" xfId="1" applyFont="1" applyFill="1" applyAlignment="1">
      <alignment horizontal="left" vertical="top"/>
    </xf>
    <xf numFmtId="0" fontId="4" fillId="0" borderId="0" xfId="0" applyFont="1"/>
    <xf numFmtId="0" fontId="6" fillId="0" borderId="0" xfId="0" applyFont="1"/>
    <xf numFmtId="164" fontId="5" fillId="0" borderId="0" xfId="1" applyNumberFormat="1" applyFont="1" applyFill="1" applyAlignment="1">
      <alignment horizontal="left" vertical="top"/>
    </xf>
    <xf numFmtId="49" fontId="3" fillId="0" borderId="0" xfId="0" applyNumberFormat="1" applyFont="1"/>
    <xf numFmtId="0" fontId="4" fillId="0" borderId="0" xfId="1" applyFont="1" applyFill="1" applyAlignment="1">
      <alignment horizontal="left" vertical="top"/>
    </xf>
    <xf numFmtId="164" fontId="4" fillId="0" borderId="0" xfId="0" applyNumberFormat="1" applyFont="1" applyAlignment="1">
      <alignment horizontal="left" vertical="top"/>
    </xf>
    <xf numFmtId="49" fontId="2" fillId="0" borderId="2" xfId="0" applyNumberFormat="1" applyFont="1" applyBorder="1" applyAlignment="1">
      <alignment horizontal="left" vertical="center" wrapText="1"/>
    </xf>
    <xf numFmtId="0" fontId="2" fillId="5" borderId="2" xfId="0" applyFont="1" applyFill="1" applyBorder="1" applyAlignment="1">
      <alignment vertical="top" wrapText="1"/>
    </xf>
    <xf numFmtId="0" fontId="2" fillId="6" borderId="2" xfId="0" applyFont="1" applyFill="1" applyBorder="1" applyAlignment="1">
      <alignment vertical="top" wrapText="1"/>
    </xf>
    <xf numFmtId="49" fontId="2" fillId="0" borderId="0" xfId="0" applyNumberFormat="1" applyFont="1" applyAlignment="1">
      <alignment horizontal="center" wrapText="1"/>
    </xf>
    <xf numFmtId="1" fontId="4" fillId="0" borderId="0" xfId="0" applyNumberFormat="1" applyFont="1" applyAlignment="1">
      <alignment horizontal="center" vertical="top" wrapText="1"/>
    </xf>
    <xf numFmtId="49" fontId="3" fillId="0" borderId="0" xfId="0" applyNumberFormat="1" applyFont="1" applyAlignment="1">
      <alignment horizontal="center"/>
    </xf>
    <xf numFmtId="0" fontId="2" fillId="0" borderId="0" xfId="0" applyFont="1" applyAlignment="1">
      <alignment horizontal="center" wrapText="1"/>
    </xf>
    <xf numFmtId="0" fontId="3" fillId="0" borderId="0" xfId="0" applyFont="1" applyAlignment="1">
      <alignment horizontal="center"/>
    </xf>
    <xf numFmtId="0" fontId="2" fillId="0" borderId="2" xfId="0" applyFont="1" applyBorder="1" applyAlignment="1">
      <alignment horizontal="left" vertical="center" wrapText="1"/>
    </xf>
    <xf numFmtId="0" fontId="2" fillId="4" borderId="0" xfId="0" applyFont="1" applyFill="1" applyAlignment="1">
      <alignment horizontal="center" wrapText="1"/>
    </xf>
    <xf numFmtId="0" fontId="2" fillId="2" borderId="3" xfId="0" applyFont="1" applyFill="1" applyBorder="1" applyAlignment="1">
      <alignment horizontal="center" wrapText="1"/>
    </xf>
    <xf numFmtId="0" fontId="2" fillId="3" borderId="0" xfId="0" applyFont="1" applyFill="1" applyAlignment="1">
      <alignment horizontal="center" wrapText="1"/>
    </xf>
  </cellXfs>
  <cellStyles count="2">
    <cellStyle name="Hyperlink" xfId="1" builtinId="8"/>
    <cellStyle name="Normal" xfId="0" builtinId="0"/>
  </cellStyles>
  <dxfs count="53">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patternType="solid">
          <fgColor rgb="FFB7E1CD"/>
          <bgColor rgb="FFB7E1CD"/>
        </patternFill>
      </fill>
    </dxf>
    <dxf>
      <fill>
        <patternFill>
          <bgColor rgb="FF92D050"/>
        </patternFill>
      </fill>
    </dxf>
    <dxf>
      <fill>
        <patternFill>
          <bgColor rgb="FFFF0000"/>
        </patternFill>
      </fill>
    </dxf>
    <dxf>
      <fill>
        <patternFill>
          <bgColor rgb="FFFFFF00"/>
        </patternFill>
      </fill>
    </dxf>
    <dxf>
      <font>
        <b val="0"/>
        <i val="0"/>
        <strike val="0"/>
        <condense val="0"/>
        <extend val="0"/>
        <outline val="0"/>
        <shadow val="0"/>
        <u val="none"/>
        <vertAlign val="baseline"/>
        <sz val="10"/>
        <color auto="1"/>
        <name val="Arial"/>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Arial"/>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Arial"/>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Arial"/>
        <family val="2"/>
        <scheme val="maj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Arial"/>
        <family val="2"/>
        <scheme val="major"/>
      </font>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maj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major"/>
      </font>
      <fill>
        <patternFill patternType="none">
          <fgColor indexed="64"/>
          <bgColor indexed="65"/>
        </patternFill>
      </fill>
      <alignment horizontal="center" vertical="top" textRotation="0" wrapText="1" indent="0" justifyLastLine="0" shrinkToFit="0" readingOrder="0"/>
    </dxf>
    <dxf>
      <font>
        <b val="0"/>
        <i val="0"/>
        <strike val="0"/>
        <outline val="0"/>
        <shadow val="0"/>
        <u val="none"/>
        <vertAlign val="baseline"/>
        <sz val="10"/>
        <color auto="1"/>
        <name val="Arial"/>
        <family val="2"/>
        <scheme val="major"/>
      </font>
      <alignment horizontal="left" vertical="top" textRotation="0" indent="0" justifyLastLine="0" shrinkToFit="0" readingOrder="0"/>
    </dxf>
    <dxf>
      <font>
        <b val="0"/>
        <i val="0"/>
        <strike val="0"/>
        <condense val="0"/>
        <extend val="0"/>
        <outline val="0"/>
        <shadow val="0"/>
        <u val="none"/>
        <vertAlign val="baseline"/>
        <sz val="10"/>
        <color auto="1"/>
        <name val="Arial"/>
        <family val="2"/>
        <scheme val="major"/>
      </font>
      <numFmt numFmtId="30" formatCode="@"/>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major"/>
      </font>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major"/>
      </font>
      <numFmt numFmtId="1"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major"/>
      </font>
      <numFmt numFmtId="30" formatCode="@"/>
      <fill>
        <patternFill patternType="none">
          <fgColor indexed="64"/>
          <bgColor indexed="65"/>
        </patternFill>
      </fill>
      <alignment horizontal="left" vertical="top" textRotation="0" wrapText="1" indent="0" justifyLastLine="0" shrinkToFit="0" readingOrder="0"/>
    </dxf>
    <dxf>
      <font>
        <b val="0"/>
        <i val="0"/>
        <strike val="0"/>
        <outline val="0"/>
        <shadow val="0"/>
        <u val="none"/>
        <vertAlign val="baseline"/>
        <sz val="10"/>
        <color auto="1"/>
        <name val="Arial"/>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Arial"/>
        <family val="2"/>
        <scheme val="maj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maj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maj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maj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major"/>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major"/>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major"/>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maj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maj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maj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maj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maj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maj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maj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major"/>
      </font>
      <fill>
        <patternFill patternType="none">
          <fgColor indexed="64"/>
          <bgColor indexed="65"/>
        </patternFill>
      </fill>
      <alignment horizontal="left" vertical="top" textRotation="0" indent="0" justifyLastLine="0" shrinkToFit="0" readingOrder="0"/>
    </dxf>
    <dxf>
      <font>
        <b val="0"/>
        <i val="0"/>
        <strike val="0"/>
        <condense val="0"/>
        <extend val="0"/>
        <outline val="0"/>
        <shadow val="0"/>
        <u val="none"/>
        <vertAlign val="baseline"/>
        <sz val="10"/>
        <color auto="1"/>
        <name val="Arial"/>
        <family val="2"/>
        <scheme val="maj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Arial"/>
        <family val="2"/>
        <scheme val="major"/>
      </font>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maj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Arial"/>
        <family val="2"/>
        <scheme val="major"/>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family val="2"/>
        <scheme val="major"/>
      </font>
      <alignment horizontal="left" vertical="top" textRotation="0" wrapText="1" indent="0" justifyLastLine="0" shrinkToFit="0" readingOrder="0"/>
    </dxf>
    <dxf>
      <border outline="0">
        <top style="medium">
          <color indexed="64"/>
        </top>
      </border>
    </dxf>
    <dxf>
      <font>
        <b val="0"/>
        <i val="0"/>
        <strike val="0"/>
        <condense val="0"/>
        <extend val="0"/>
        <outline val="0"/>
        <shadow val="0"/>
        <u val="none"/>
        <vertAlign val="baseline"/>
        <sz val="10"/>
        <color auto="1"/>
        <name val="Arial"/>
        <family val="2"/>
        <scheme val="major"/>
      </font>
      <alignment horizontal="left" vertical="top" textRotation="0" wrapText="1" indent="0" justifyLastLine="0" shrinkToFit="0" readingOrder="0"/>
    </dxf>
    <dxf>
      <border>
        <bottom style="thin">
          <color indexed="64"/>
        </bottom>
      </border>
    </dxf>
    <dxf>
      <font>
        <b val="0"/>
        <i val="0"/>
        <strike val="0"/>
        <condense val="0"/>
        <extend val="0"/>
        <outline val="0"/>
        <shadow val="0"/>
        <u val="none"/>
        <vertAlign val="baseline"/>
        <sz val="10"/>
        <color theme="1"/>
        <name val="Arial"/>
        <family val="2"/>
        <scheme val="major"/>
      </font>
      <alignment horizontal="general" vertical="bottom" textRotation="0" wrapText="1" indent="0" justifyLastLine="0" shrinkToFit="0" readingOrder="0"/>
      <border diagonalUp="0" diagonalDown="0" outline="0">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C1B588-E137-4F95-BFC3-F434D4A19FBD}" name="Table1" displayName="Table1" ref="A2:AH105" totalsRowShown="0" headerRowDxfId="52" dataDxfId="50" headerRowBorderDxfId="51" tableBorderDxfId="49">
  <autoFilter ref="A2:AH105" xr:uid="{02C1B588-E137-4F95-BFC3-F434D4A19FBD}">
    <filterColumn colId="3">
      <filters>
        <filter val="YES"/>
      </filters>
    </filterColumn>
  </autoFilter>
  <tableColumns count="34">
    <tableColumn id="1" xr3:uid="{43A0FB88-1D3E-444A-A0C5-7D03202F75E3}" name="No" dataDxfId="48"/>
    <tableColumn id="7" xr3:uid="{8F0C1F7F-C0A6-49FA-B1BD-3F7CB337A4C5}" name="ID" dataDxfId="47">
      <calculatedColumnFormula>_xlfn.CONCAT("S", Table1[[#This Row],[No]])</calculatedColumnFormula>
    </tableColumn>
    <tableColumn id="33" xr3:uid="{2C7E8484-E4F2-42E6-82EA-8B500897C5E3}" name="Key" dataDxfId="46"/>
    <tableColumn id="2" xr3:uid="{E5894182-8DAC-4B41-A35A-9739B10B6A90}" name="Yes/No" dataDxfId="45"/>
    <tableColumn id="3" xr3:uid="{B006CF42-5790-4436-A168-1A6C3E6DBA52}" name="Title" dataDxfId="44"/>
    <tableColumn id="4" xr3:uid="{A9D0D34A-1259-40A7-AB92-D22C11DF931A}" name="Author(s)" dataDxfId="43"/>
    <tableColumn id="5" xr3:uid="{8A0F27B9-6F5E-4E20-B66E-74316DB12722}" name="Publication year" dataDxfId="42"/>
    <tableColumn id="6" xr3:uid="{A9BAFE1B-F5D3-496D-80C5-327E16A85CFE}" name="I1: It discusses evaluation, validation, or assessment of software reference architectures, in detail" dataDxfId="41"/>
    <tableColumn id="8" xr3:uid="{253AEF1C-68AF-4113-9D09-901E3A346677}" name="I2: It is peer-reviewed" dataDxfId="40"/>
    <tableColumn id="9" xr3:uid="{35478731-AAE3-40D9-A501-23F4FC109FD5}" name="E1: It is a secondary or tertiary study" dataDxfId="39"/>
    <tableColumn id="10" xr3:uid="{EE6EFE0C-6C44-4CD9-97ED-D1BA290ECA9B}" name="E2: Published before 2005" dataDxfId="38"/>
    <tableColumn id="12" xr3:uid="{1010EFEC-1B70-4D43-8143-4C290A7158BA}" name="E3: Duplicate paper or earlier versions of the same work" dataDxfId="37"/>
    <tableColumn id="13" xr3:uid="{1447733E-E297-4F01-96F7-FD65A232D9C3}" name="E4: Full text not available, or not in English" dataDxfId="36"/>
    <tableColumn id="14" xr3:uid="{7698843D-0404-4934-B7AB-BF7BB569EBA7}" name="ISBN/ISSN" dataDxfId="35"/>
    <tableColumn id="15" xr3:uid="{C8E30119-2A9D-4011-852A-BEA99314416B}" name="DOI" dataDxfId="34"/>
    <tableColumn id="16" xr3:uid="{D2478B4A-7B90-4319-9707-786277F64588}" name="Url" dataDxfId="33"/>
    <tableColumn id="17" xr3:uid="{4DDB0157-0DE2-4792-BA96-1E0067911B74}" name="Title and abstract read" dataDxfId="32"/>
    <tableColumn id="18" xr3:uid="{36DAF966-6384-4346-A84C-616B7EAC4AB2}" name="Skim read" dataDxfId="31"/>
    <tableColumn id="19" xr3:uid="{20FA43BF-E049-4478-BD9B-D72530627710}" name="Full-text read" dataDxfId="30"/>
    <tableColumn id="20" xr3:uid="{AD0C4A8A-EEE4-4FEA-B21C-A0627A0301A8}" name="Item type" dataDxfId="29"/>
    <tableColumn id="21" xr3:uid="{642B6056-E2B9-47F7-88B0-D146820D9E95}" name="Journal / Proceeding" dataDxfId="28"/>
    <tableColumn id="22" xr3:uid="{902494AE-F47F-4AFE-8E25-FA7F68F48618}" name="Date added" dataDxfId="27"/>
    <tableColumn id="32" xr3:uid="{D4713427-942E-46FF-B730-39ED9AE6D734}" name="Volume" dataDxfId="26"/>
    <tableColumn id="34" xr3:uid="{84AEB919-F2C0-424F-8CF4-0B772CD1D7ED}" name="Issue" dataDxfId="25"/>
    <tableColumn id="23" xr3:uid="{C688140A-DF89-49D6-A143-68B595347C16}" name="Pages" dataDxfId="24"/>
    <tableColumn id="25" xr3:uid="{7002606D-358E-48CE-827A-C558AC765B57}" name="Publisher" dataDxfId="23"/>
    <tableColumn id="26" xr3:uid="{DEC28F09-0CBF-436E-90AF-16CF9C3C2CF4}" name="Author type" dataDxfId="22"/>
    <tableColumn id="27" xr3:uid="{7D54269F-D119-4EC1-A1CF-4EB2CCD8058D}" name="Research type used in evaluation" dataDxfId="21"/>
    <tableColumn id="11" xr3:uid="{C5343E01-B90D-42B6-9318-0E88FB7C066A}" name="Specific evaluation method" dataDxfId="20"/>
    <tableColumn id="24" xr3:uid="{E8146F15-4FCC-4F36-898D-4A8940628349}" name="If evaluation conducted, level of detail" dataDxfId="19"/>
    <tableColumn id="28" xr3:uid="{4CE015A3-E84F-4C0F-BC96-3EE136FEF0D3}" name="Application domain" dataDxfId="18"/>
    <tableColumn id="29" xr3:uid="{B2FD002E-2F0C-4DE2-BABB-D4427A770E4A}" name="Application domain (if OTHER)" dataDxfId="17"/>
    <tableColumn id="30" xr3:uid="{519F3613-C81C-4079-998C-9D22344E4C91}" name="Source" dataDxfId="16"/>
    <tableColumn id="31" xr3:uid="{84DA8F6B-0B18-449B-AAB4-72757D158918}" name="Comments" dataDxfId="15"/>
  </tableColumns>
  <tableStyleInfo name="TableStyleLight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1109/CBMS.2015.39" TargetMode="External"/><Relationship Id="rId21" Type="http://schemas.openxmlformats.org/officeDocument/2006/relationships/hyperlink" Target="https://arc.aiaa.org/doi/abs/10.2514/6.2016-5468" TargetMode="External"/><Relationship Id="rId42" Type="http://schemas.openxmlformats.org/officeDocument/2006/relationships/hyperlink" Target="https://doi.org/10.1145/2031759.203177" TargetMode="External"/><Relationship Id="rId47" Type="http://schemas.openxmlformats.org/officeDocument/2006/relationships/hyperlink" Target="https://doi.org/10.1109/ICSM.2005.13" TargetMode="External"/><Relationship Id="rId63" Type="http://schemas.openxmlformats.org/officeDocument/2006/relationships/hyperlink" Target="https://doi.org/10.3390/ijgi3041445" TargetMode="External"/><Relationship Id="rId68" Type="http://schemas.openxmlformats.org/officeDocument/2006/relationships/hyperlink" Target="https://doi.org/10.1016/j.compind.2019.02.007" TargetMode="External"/><Relationship Id="rId84" Type="http://schemas.openxmlformats.org/officeDocument/2006/relationships/hyperlink" Target="https://doi.org/10.1016/j.cie.2024.110368" TargetMode="External"/><Relationship Id="rId89" Type="http://schemas.openxmlformats.org/officeDocument/2006/relationships/hyperlink" Target="https://doi.org/10.1016/j.comcom.2021.06.010" TargetMode="External"/><Relationship Id="rId16" Type="http://schemas.openxmlformats.org/officeDocument/2006/relationships/hyperlink" Target="https://doi.org/10.23919/SAIEE.2016.8531545" TargetMode="External"/><Relationship Id="rId11" Type="http://schemas.openxmlformats.org/officeDocument/2006/relationships/hyperlink" Target="https://doi.org/10.1007/978-3-662-58134-6_8" TargetMode="External"/><Relationship Id="rId32" Type="http://schemas.openxmlformats.org/officeDocument/2006/relationships/hyperlink" Target="https://doi.org/10.1109/ICCC202255925.2022.9922765" TargetMode="External"/><Relationship Id="rId37" Type="http://schemas.openxmlformats.org/officeDocument/2006/relationships/hyperlink" Target="https://doi.org/10.1016/j.jmsy.2026.01.010" TargetMode="External"/><Relationship Id="rId53" Type="http://schemas.openxmlformats.org/officeDocument/2006/relationships/hyperlink" Target="https://doi.org/10.1016/j.compag.2016.04.011" TargetMode="External"/><Relationship Id="rId58" Type="http://schemas.openxmlformats.org/officeDocument/2006/relationships/hyperlink" Target="https://doi.org/10.18417/emisa.si.hcm.20" TargetMode="External"/><Relationship Id="rId74" Type="http://schemas.openxmlformats.org/officeDocument/2006/relationships/hyperlink" Target="https://clei.org/proceedings_data/CLEI2009/57474.pdf" TargetMode="External"/><Relationship Id="rId79" Type="http://schemas.openxmlformats.org/officeDocument/2006/relationships/hyperlink" Target="https://inria.hal.science/hal-03231361v1" TargetMode="External"/><Relationship Id="rId102" Type="http://schemas.openxmlformats.org/officeDocument/2006/relationships/hyperlink" Target="https://doi.org/10.1109/INDIN.2005.1560381" TargetMode="External"/><Relationship Id="rId5" Type="http://schemas.openxmlformats.org/officeDocument/2006/relationships/hyperlink" Target="https://doi.org/10.1016/j.procir.2018.03.136" TargetMode="External"/><Relationship Id="rId90" Type="http://schemas.openxmlformats.org/officeDocument/2006/relationships/hyperlink" Target="https://doi.org/10.1007/978-3-642-31069-0_21" TargetMode="External"/><Relationship Id="rId95" Type="http://schemas.openxmlformats.org/officeDocument/2006/relationships/hyperlink" Target="https://doi.org/doi:10.4018/IJEGR.2018100105" TargetMode="External"/><Relationship Id="rId22" Type="http://schemas.openxmlformats.org/officeDocument/2006/relationships/hyperlink" Target="https://doi.org/10.29268/stbd.2017.4.1.1" TargetMode="External"/><Relationship Id="rId27" Type="http://schemas.openxmlformats.org/officeDocument/2006/relationships/hyperlink" Target="https://doi.org/10.1109/TSA.2014.12" TargetMode="External"/><Relationship Id="rId43" Type="http://schemas.openxmlformats.org/officeDocument/2006/relationships/hyperlink" Target="https://doi.org/10.1016/j.infsof.2011.11.009" TargetMode="External"/><Relationship Id="rId48" Type="http://schemas.openxmlformats.org/officeDocument/2006/relationships/hyperlink" Target="https://doi.org/10.1109/WICSA.2009.5290800" TargetMode="External"/><Relationship Id="rId64" Type="http://schemas.openxmlformats.org/officeDocument/2006/relationships/hyperlink" Target="https://www.mdpi.com/2220-9964/3/4/1445" TargetMode="External"/><Relationship Id="rId69" Type="http://schemas.openxmlformats.org/officeDocument/2006/relationships/hyperlink" Target="https://doi.org/10.1007/978-3-031-42592-9_8" TargetMode="External"/><Relationship Id="rId80" Type="http://schemas.openxmlformats.org/officeDocument/2006/relationships/hyperlink" Target="https://doi.org/10.1007/978-3-030-35151-9_7" TargetMode="External"/><Relationship Id="rId85" Type="http://schemas.openxmlformats.org/officeDocument/2006/relationships/hyperlink" Target="https://doi.org/10.1016/j.future.2019.04.016" TargetMode="External"/><Relationship Id="rId12" Type="http://schemas.openxmlformats.org/officeDocument/2006/relationships/hyperlink" Target="https://doi.org/10.1016/j.dss.2022.113794" TargetMode="External"/><Relationship Id="rId17" Type="http://schemas.openxmlformats.org/officeDocument/2006/relationships/hyperlink" Target="https://doi.org/10.1016/j.csl.2022.101465" TargetMode="External"/><Relationship Id="rId33" Type="http://schemas.openxmlformats.org/officeDocument/2006/relationships/hyperlink" Target="https://doi.org/10.1109/COMPSAC.2015.128" TargetMode="External"/><Relationship Id="rId38" Type="http://schemas.openxmlformats.org/officeDocument/2006/relationships/hyperlink" Target="https://doi.org/10.1109/ISCC.2018.8538576" TargetMode="External"/><Relationship Id="rId59" Type="http://schemas.openxmlformats.org/officeDocument/2006/relationships/hyperlink" Target="https://doi.org/10.1007/978-3-642-39031-9_2" TargetMode="External"/><Relationship Id="rId103" Type="http://schemas.openxmlformats.org/officeDocument/2006/relationships/hyperlink" Target="https://doi.org/10.1109/MobServ.2014.24" TargetMode="External"/><Relationship Id="rId20" Type="http://schemas.openxmlformats.org/officeDocument/2006/relationships/hyperlink" Target="https://doi.org/10.2514/6.2016-5468" TargetMode="External"/><Relationship Id="rId41" Type="http://schemas.openxmlformats.org/officeDocument/2006/relationships/hyperlink" Target="https://dl.acm.org/doi/10.5555/3374138.3374202" TargetMode="External"/><Relationship Id="rId54" Type="http://schemas.openxmlformats.org/officeDocument/2006/relationships/hyperlink" Target="https://doi.org/10.1145/2361999.2362022" TargetMode="External"/><Relationship Id="rId62" Type="http://schemas.openxmlformats.org/officeDocument/2006/relationships/hyperlink" Target="http://industrialized-software.wdfiles.com/local--files/kiss-oopsla-2009/maga.pdf" TargetMode="External"/><Relationship Id="rId70" Type="http://schemas.openxmlformats.org/officeDocument/2006/relationships/hyperlink" Target="https://doi.org/10.1109/IRC.2018.00026" TargetMode="External"/><Relationship Id="rId75" Type="http://schemas.openxmlformats.org/officeDocument/2006/relationships/hyperlink" Target="https://www.researchgate.net/profile/Osama-Khaled-3/publication/311509419_A_Pervasive_Computing_Business_Reference_Architecture_The_Basic_Requirements_Model/links/591af3dbaca272fa34dbb634/A-Pervasive-Computing-Business-Reference-Architecture-The-Basic-Requirements-Model.pdf" TargetMode="External"/><Relationship Id="rId83" Type="http://schemas.openxmlformats.org/officeDocument/2006/relationships/hyperlink" Target="http://doi.org/10.1109/EDOC.2008.14" TargetMode="External"/><Relationship Id="rId88" Type="http://schemas.openxmlformats.org/officeDocument/2006/relationships/hyperlink" Target="https://doi.org/10.1007/978-3-031-59465-6_19" TargetMode="External"/><Relationship Id="rId91" Type="http://schemas.openxmlformats.org/officeDocument/2006/relationships/hyperlink" Target="https://doi.org/10.1145/3685651.368565" TargetMode="External"/><Relationship Id="rId96" Type="http://schemas.openxmlformats.org/officeDocument/2006/relationships/hyperlink" Target="https://doi.org/10.3390/electronics15010038" TargetMode="External"/><Relationship Id="rId1" Type="http://schemas.openxmlformats.org/officeDocument/2006/relationships/hyperlink" Target="https://doi.org/10.1016/j.compind.2020.103343" TargetMode="External"/><Relationship Id="rId6" Type="http://schemas.openxmlformats.org/officeDocument/2006/relationships/hyperlink" Target="https://doi.org/10.1016/j.jisa.2024.103917" TargetMode="External"/><Relationship Id="rId15" Type="http://schemas.openxmlformats.org/officeDocument/2006/relationships/hyperlink" Target="https://doi.org/10.1002/spy2.18" TargetMode="External"/><Relationship Id="rId23" Type="http://schemas.openxmlformats.org/officeDocument/2006/relationships/hyperlink" Target="https://doi.org/10.1109/SCC.2011.103" TargetMode="External"/><Relationship Id="rId28" Type="http://schemas.openxmlformats.org/officeDocument/2006/relationships/hyperlink" Target="https://doi.org/10.1016/j.infsof.2017.06.001" TargetMode="External"/><Relationship Id="rId36" Type="http://schemas.openxmlformats.org/officeDocument/2006/relationships/hyperlink" Target="https://doi.org/10.1016/j.procir.2021.10.023" TargetMode="External"/><Relationship Id="rId49" Type="http://schemas.openxmlformats.org/officeDocument/2006/relationships/hyperlink" Target="https://hdl.handle.net/2117/24040" TargetMode="External"/><Relationship Id="rId57" Type="http://schemas.openxmlformats.org/officeDocument/2006/relationships/hyperlink" Target="https://doi.org/10.1109/NCM.2009.115" TargetMode="External"/><Relationship Id="rId10" Type="http://schemas.openxmlformats.org/officeDocument/2006/relationships/hyperlink" Target="https://doi.org/10.1016/j.jss.2012.05.003" TargetMode="External"/><Relationship Id="rId31" Type="http://schemas.openxmlformats.org/officeDocument/2006/relationships/hyperlink" Target="https://pure.tue.nl/ws/portalfiles/portal/2081401/629930.pdf" TargetMode="External"/><Relationship Id="rId44" Type="http://schemas.openxmlformats.org/officeDocument/2006/relationships/hyperlink" Target="https://doi.org/10.1016/j.bdr.2015.01.001" TargetMode="External"/><Relationship Id="rId52" Type="http://schemas.openxmlformats.org/officeDocument/2006/relationships/hyperlink" Target="https://doi.org/10.1109/CSMR.2005.28" TargetMode="External"/><Relationship Id="rId60" Type="http://schemas.openxmlformats.org/officeDocument/2006/relationships/hyperlink" Target="https://doi.org/10.1016/j.knosys.2023.110750" TargetMode="External"/><Relationship Id="rId65" Type="http://schemas.openxmlformats.org/officeDocument/2006/relationships/hyperlink" Target="https://www.scitepress.org/papers/2016/58621/58621.pdf" TargetMode="External"/><Relationship Id="rId73" Type="http://schemas.openxmlformats.org/officeDocument/2006/relationships/hyperlink" Target="https://www.researchgate.net/profile/Hans-Schaffers/publication/230730354_Living_Labs_for_Enhancing_Innovation_and_Rural_development_Methodology_and_Implementation/links/5cc95be5a6fdcc1d49bc64fb/Living-Labs-for-Enhancing-Innovation-and-Rural-development-Methodology-and-Implementation.pdf" TargetMode="External"/><Relationship Id="rId78" Type="http://schemas.openxmlformats.org/officeDocument/2006/relationships/hyperlink" Target="https://doi.org/10.1109/VTC2023-Spring57618.2023.10199410" TargetMode="External"/><Relationship Id="rId81" Type="http://schemas.openxmlformats.org/officeDocument/2006/relationships/hyperlink" Target="https://doi.org/10.1007/978-3-662-49521-6%201" TargetMode="External"/><Relationship Id="rId86" Type="http://schemas.openxmlformats.org/officeDocument/2006/relationships/hyperlink" Target="https://www.emerald.com/bepam/article/14/5/713/1236228/Life-cycle-cost-analysis-at-scale-a-reference" TargetMode="External"/><Relationship Id="rId94" Type="http://schemas.openxmlformats.org/officeDocument/2006/relationships/hyperlink" Target="https://doi.org/0.1049/iet-sen.2018.5355" TargetMode="External"/><Relationship Id="rId99" Type="http://schemas.openxmlformats.org/officeDocument/2006/relationships/hyperlink" Target="https://doi.org/10.1109/WICSA.2014.22" TargetMode="External"/><Relationship Id="rId101" Type="http://schemas.openxmlformats.org/officeDocument/2006/relationships/hyperlink" Target="https://doi.org/10.1111/sys.21279" TargetMode="External"/><Relationship Id="rId4" Type="http://schemas.openxmlformats.org/officeDocument/2006/relationships/hyperlink" Target="https://doi.org/10.1109/ICSAW.2017.8" TargetMode="External"/><Relationship Id="rId9" Type="http://schemas.openxmlformats.org/officeDocument/2006/relationships/hyperlink" Target="https://doi.org/10.1049/oap-cired.2017.0965" TargetMode="External"/><Relationship Id="rId13" Type="http://schemas.openxmlformats.org/officeDocument/2006/relationships/hyperlink" Target="https://doi.org/10.1109/CAIN66642.2025.00046" TargetMode="External"/><Relationship Id="rId18" Type="http://schemas.openxmlformats.org/officeDocument/2006/relationships/hyperlink" Target="https://doi.org/10.1109/WICSA.2011.43" TargetMode="External"/><Relationship Id="rId39" Type="http://schemas.openxmlformats.org/officeDocument/2006/relationships/hyperlink" Target="https://amohan.mcm.edu/upload/conf_pubs/stbd17.pdf" TargetMode="External"/><Relationship Id="rId34" Type="http://schemas.openxmlformats.org/officeDocument/2006/relationships/hyperlink" Target="https://doi.org/10.1109/EDOCW52865.2021.00041" TargetMode="External"/><Relationship Id="rId50" Type="http://schemas.openxmlformats.org/officeDocument/2006/relationships/hyperlink" Target="https://doi.org/10.1007/978-3-540-88030-1_17" TargetMode="External"/><Relationship Id="rId55" Type="http://schemas.openxmlformats.org/officeDocument/2006/relationships/hyperlink" Target="https://hdl.handle.net/2117/16970" TargetMode="External"/><Relationship Id="rId76" Type="http://schemas.openxmlformats.org/officeDocument/2006/relationships/hyperlink" Target="https://www.en-trust.at/papers/Riedmann24c.pdf" TargetMode="External"/><Relationship Id="rId97" Type="http://schemas.openxmlformats.org/officeDocument/2006/relationships/hyperlink" Target="https://doi.org/10.1109/ACCESS.2020.3034390" TargetMode="External"/><Relationship Id="rId104" Type="http://schemas.openxmlformats.org/officeDocument/2006/relationships/printerSettings" Target="../printerSettings/printerSettings1.bin"/><Relationship Id="rId7" Type="http://schemas.openxmlformats.org/officeDocument/2006/relationships/hyperlink" Target="https://doi.org/10.1145/2000259.2000285" TargetMode="External"/><Relationship Id="rId71" Type="http://schemas.openxmlformats.org/officeDocument/2006/relationships/hyperlink" Target="https://doi.org/10.1007/s11761-009-0040-0" TargetMode="External"/><Relationship Id="rId92" Type="http://schemas.openxmlformats.org/officeDocument/2006/relationships/hyperlink" Target="http://hdl.handle.net/10138/27938" TargetMode="External"/><Relationship Id="rId2" Type="http://schemas.openxmlformats.org/officeDocument/2006/relationships/hyperlink" Target="https://doi.org/10.1016/j.future.2016.12.002" TargetMode="External"/><Relationship Id="rId29" Type="http://schemas.openxmlformats.org/officeDocument/2006/relationships/hyperlink" Target="https://doi.org/10.1145/2578128.2578238" TargetMode="External"/><Relationship Id="rId24" Type="http://schemas.openxmlformats.org/officeDocument/2006/relationships/hyperlink" Target="https://doi.org/10.1109/WICSA.2016.43" TargetMode="External"/><Relationship Id="rId40" Type="http://schemas.openxmlformats.org/officeDocument/2006/relationships/hyperlink" Target="https://doi.org/10.1109/SC.2018.00040" TargetMode="External"/><Relationship Id="rId45" Type="http://schemas.openxmlformats.org/officeDocument/2006/relationships/hyperlink" Target="https://doi.org/10.1007/978-3-540-33253-4_8" TargetMode="External"/><Relationship Id="rId66" Type="http://schemas.openxmlformats.org/officeDocument/2006/relationships/hyperlink" Target="https://doi.org/10.1109/HICSS.2005.588" TargetMode="External"/><Relationship Id="rId87" Type="http://schemas.openxmlformats.org/officeDocument/2006/relationships/hyperlink" Target="https://doi.org/10.1108/BEPAM-07-2023-0132" TargetMode="External"/><Relationship Id="rId61" Type="http://schemas.openxmlformats.org/officeDocument/2006/relationships/hyperlink" Target="https://doi.org/10.5220/0009194307090716" TargetMode="External"/><Relationship Id="rId82" Type="http://schemas.openxmlformats.org/officeDocument/2006/relationships/hyperlink" Target="https://doi.org/10.1016/j.future.2024.01.029" TargetMode="External"/><Relationship Id="rId19" Type="http://schemas.openxmlformats.org/officeDocument/2006/relationships/hyperlink" Target="https://doi.org/10.1007/978-3-642-36632-1_16" TargetMode="External"/><Relationship Id="rId14" Type="http://schemas.openxmlformats.org/officeDocument/2006/relationships/hyperlink" Target="https://doi.org/10.1007/978-3-319-49094-6_8" TargetMode="External"/><Relationship Id="rId30" Type="http://schemas.openxmlformats.org/officeDocument/2006/relationships/hyperlink" Target="https://doi.org/10.1109/INDIN.2017.8104938" TargetMode="External"/><Relationship Id="rId35" Type="http://schemas.openxmlformats.org/officeDocument/2006/relationships/hyperlink" Target="https://doi.org/10.1016/j.jmsy.2021.09.003" TargetMode="External"/><Relationship Id="rId56" Type="http://schemas.openxmlformats.org/officeDocument/2006/relationships/hyperlink" Target="https://doi.org/10.1145/1370062.1370077" TargetMode="External"/><Relationship Id="rId77" Type="http://schemas.openxmlformats.org/officeDocument/2006/relationships/hyperlink" Target="https://doi.org/10.1002/iis2.13199" TargetMode="External"/><Relationship Id="rId100" Type="http://schemas.openxmlformats.org/officeDocument/2006/relationships/hyperlink" Target="https://doi.org/10.1007/978-3-642-38977-1_10" TargetMode="External"/><Relationship Id="rId105" Type="http://schemas.openxmlformats.org/officeDocument/2006/relationships/table" Target="../tables/table1.xml"/><Relationship Id="rId8" Type="http://schemas.openxmlformats.org/officeDocument/2006/relationships/hyperlink" Target="https://doi.org/10.1016/j.jss.2025.112749" TargetMode="External"/><Relationship Id="rId51" Type="http://schemas.openxmlformats.org/officeDocument/2006/relationships/hyperlink" Target="https://doi.org/10.1016/j.infsof.2017.03.011" TargetMode="External"/><Relationship Id="rId72" Type="http://schemas.openxmlformats.org/officeDocument/2006/relationships/hyperlink" Target="https://doi.org/10.1007/978-3-030-75418-1_37" TargetMode="External"/><Relationship Id="rId93" Type="http://schemas.openxmlformats.org/officeDocument/2006/relationships/hyperlink" Target="https://hdl.handle.net/2117/17065" TargetMode="External"/><Relationship Id="rId98" Type="http://schemas.openxmlformats.org/officeDocument/2006/relationships/hyperlink" Target="https://doi.org/10.18420/inf2025_142" TargetMode="External"/><Relationship Id="rId3" Type="http://schemas.openxmlformats.org/officeDocument/2006/relationships/hyperlink" Target="https://doi.org/10.1016/j.datak.2014.04.001" TargetMode="External"/><Relationship Id="rId25" Type="http://schemas.openxmlformats.org/officeDocument/2006/relationships/hyperlink" Target="https://doi.org/10.1145/3664476.3664513" TargetMode="External"/><Relationship Id="rId46" Type="http://schemas.openxmlformats.org/officeDocument/2006/relationships/hyperlink" Target="https://doi.org/10.1017/S1351324906004104" TargetMode="External"/><Relationship Id="rId67" Type="http://schemas.openxmlformats.org/officeDocument/2006/relationships/hyperlink" Target="https://d1wqtxts1xzle7.cloudfront.net/123619383/CRPITV46Pollard-libre.pdf?1751750417=&amp;response-content-disposition=inline%3B+filename%3DA_reference_architecture_for_instruction.pdf&amp;Expires=1772068116&amp;Signature=N6~gzwZTKvZZoHlILDEJXnITpCqZa5k9MYjDO-tD-EaqwPXNpMJwn~OuHl4a3hrpv-d0Eo-~Z1pDlLextYVzs3Fno2Xm3MNeC9cffYi9wNVbfDbMT~ygtcUBgFY22ML7qm6EVWZ2pBkwfkIAvIkmcmRSho4E3mYpjVjjZj9KQgY866r6hN3T6ecgrYKv7UVjY60FcaXEp3t1NNmBqCbcDeoKx1ccB9xIFFEd5693Ff3lt~4q1WppnMulNq7V0X3Thg~2ZTfghJZ91kvWe6JLweXixuyuBuaJxefY9DcnHcBmIUyjj5sY480voo22EjRbSkkqKRG5fcbLvv75ohiFFw__&amp;Key-Pair-Id=APKAJLOHF5GGSLRBV4Z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P105"/>
  <sheetViews>
    <sheetView showGridLines="0" tabSelected="1" zoomScale="75" zoomScaleNormal="75" workbookViewId="0">
      <pane xSplit="7" ySplit="2" topLeftCell="X3" activePane="bottomRight" state="frozen"/>
      <selection pane="topRight" activeCell="H1" sqref="H1"/>
      <selection pane="bottomLeft" activeCell="A3" sqref="A3"/>
      <selection pane="bottomRight" activeCell="AD15" sqref="AD15"/>
    </sheetView>
  </sheetViews>
  <sheetFormatPr defaultColWidth="12.6640625" defaultRowHeight="13.2" x14ac:dyDescent="0.25"/>
  <cols>
    <col min="1" max="1" width="5.88671875" style="6" bestFit="1" customWidth="1"/>
    <col min="2" max="2" width="8.109375" style="6" bestFit="1" customWidth="1"/>
    <col min="3" max="4" width="15.6640625" style="6" customWidth="1"/>
    <col min="5" max="6" width="30.6640625" style="6" customWidth="1"/>
    <col min="7" max="13" width="15.6640625" style="6" customWidth="1"/>
    <col min="14" max="15" width="30.6640625" style="6" customWidth="1"/>
    <col min="16" max="20" width="15.6640625" style="6" customWidth="1"/>
    <col min="21" max="21" width="30.6640625" style="6" customWidth="1"/>
    <col min="22" max="22" width="18.6640625" style="22" bestFit="1" customWidth="1"/>
    <col min="23" max="23" width="18.6640625" style="30" bestFit="1" customWidth="1"/>
    <col min="24" max="24" width="15.6640625" style="6" customWidth="1"/>
    <col min="25" max="25" width="15.6640625" style="32" customWidth="1"/>
    <col min="26" max="33" width="15.6640625" style="6" customWidth="1"/>
    <col min="34" max="34" width="75.77734375" customWidth="1"/>
    <col min="35" max="35" width="60.6640625" style="6" customWidth="1"/>
    <col min="36" max="36" width="15.6640625" style="6" customWidth="1"/>
    <col min="37" max="16384" width="12.6640625" style="6"/>
  </cols>
  <sheetData>
    <row r="1" spans="1:34" x14ac:dyDescent="0.25">
      <c r="A1" s="3" t="s">
        <v>0</v>
      </c>
      <c r="B1" s="3"/>
      <c r="C1" s="3"/>
      <c r="D1" s="3" t="s">
        <v>1</v>
      </c>
      <c r="E1" s="3"/>
      <c r="F1" s="4"/>
      <c r="G1" s="3"/>
      <c r="H1" s="35" t="s">
        <v>13</v>
      </c>
      <c r="I1" s="35"/>
      <c r="J1" s="36" t="s">
        <v>14</v>
      </c>
      <c r="K1" s="36"/>
      <c r="L1" s="36"/>
      <c r="M1" s="36"/>
      <c r="N1" s="3"/>
      <c r="O1" s="3"/>
      <c r="P1" s="4"/>
      <c r="Q1" s="34" t="s">
        <v>2</v>
      </c>
      <c r="R1" s="34"/>
      <c r="S1" s="34"/>
      <c r="T1" s="3"/>
      <c r="U1" s="3"/>
      <c r="V1" s="5"/>
      <c r="W1" s="28"/>
      <c r="X1" s="3"/>
      <c r="Y1" s="31"/>
      <c r="Z1" s="3"/>
      <c r="AA1" s="3"/>
      <c r="AB1" s="3"/>
      <c r="AC1" s="3"/>
      <c r="AD1" s="3"/>
      <c r="AE1" s="3"/>
      <c r="AF1" s="3"/>
      <c r="AG1" s="3"/>
      <c r="AH1" s="3"/>
    </row>
    <row r="2" spans="1:34" ht="112.2" customHeight="1" x14ac:dyDescent="0.25">
      <c r="A2" s="7" t="s">
        <v>729</v>
      </c>
      <c r="B2" s="8" t="s">
        <v>3</v>
      </c>
      <c r="C2" s="8" t="s">
        <v>25</v>
      </c>
      <c r="D2" s="8" t="s">
        <v>4</v>
      </c>
      <c r="E2" s="8" t="s">
        <v>5</v>
      </c>
      <c r="F2" s="9" t="s">
        <v>12</v>
      </c>
      <c r="G2" s="8" t="s">
        <v>16</v>
      </c>
      <c r="H2" s="26" t="s">
        <v>961</v>
      </c>
      <c r="I2" s="26" t="s">
        <v>703</v>
      </c>
      <c r="J2" s="27" t="s">
        <v>702</v>
      </c>
      <c r="K2" s="27" t="s">
        <v>704</v>
      </c>
      <c r="L2" s="27" t="s">
        <v>705</v>
      </c>
      <c r="M2" s="27" t="s">
        <v>706</v>
      </c>
      <c r="N2" s="8" t="s">
        <v>6</v>
      </c>
      <c r="O2" s="8" t="s">
        <v>7</v>
      </c>
      <c r="P2" s="9" t="s">
        <v>8</v>
      </c>
      <c r="Q2" s="10" t="s">
        <v>23</v>
      </c>
      <c r="R2" s="10" t="s">
        <v>17</v>
      </c>
      <c r="S2" s="10" t="s">
        <v>22</v>
      </c>
      <c r="T2" s="8" t="s">
        <v>18</v>
      </c>
      <c r="U2" s="8" t="s">
        <v>19</v>
      </c>
      <c r="V2" s="11" t="s">
        <v>15</v>
      </c>
      <c r="W2" s="25" t="s">
        <v>24</v>
      </c>
      <c r="X2" s="8" t="s">
        <v>37</v>
      </c>
      <c r="Y2" s="33" t="s">
        <v>9</v>
      </c>
      <c r="Z2" s="8" t="s">
        <v>10</v>
      </c>
      <c r="AA2" s="8" t="s">
        <v>772</v>
      </c>
      <c r="AB2" s="8" t="s">
        <v>851</v>
      </c>
      <c r="AC2" s="8" t="s">
        <v>852</v>
      </c>
      <c r="AD2" s="8" t="s">
        <v>944</v>
      </c>
      <c r="AE2" s="8" t="s">
        <v>20</v>
      </c>
      <c r="AF2" s="8" t="s">
        <v>21</v>
      </c>
      <c r="AG2" s="8" t="s">
        <v>315</v>
      </c>
      <c r="AH2" s="8" t="s">
        <v>11</v>
      </c>
    </row>
    <row r="3" spans="1:34" s="17" customFormat="1" ht="39.6" x14ac:dyDescent="0.25">
      <c r="A3" s="12">
        <v>1</v>
      </c>
      <c r="B3" s="12" t="str">
        <f>_xlfn.CONCAT("S", Table1[[#This Row],[No]])</f>
        <v>S1</v>
      </c>
      <c r="C3" s="12" t="s">
        <v>27</v>
      </c>
      <c r="D3" s="13" t="s">
        <v>732</v>
      </c>
      <c r="E3" s="12" t="s">
        <v>26</v>
      </c>
      <c r="F3" s="12" t="s">
        <v>28</v>
      </c>
      <c r="G3" s="13">
        <v>2020</v>
      </c>
      <c r="H3" s="13" t="b">
        <v>1</v>
      </c>
      <c r="I3" s="13" t="b">
        <v>1</v>
      </c>
      <c r="J3" s="13" t="b">
        <v>0</v>
      </c>
      <c r="K3" s="13" t="b">
        <v>0</v>
      </c>
      <c r="L3" s="13" t="b">
        <v>0</v>
      </c>
      <c r="M3" s="13" t="b">
        <v>0</v>
      </c>
      <c r="N3" s="17" t="s">
        <v>490</v>
      </c>
      <c r="O3" s="14" t="s">
        <v>30</v>
      </c>
      <c r="Q3" s="13" t="b">
        <v>1</v>
      </c>
      <c r="R3" s="13" t="b">
        <v>1</v>
      </c>
      <c r="S3" s="13" t="b">
        <v>1</v>
      </c>
      <c r="T3" s="13" t="s">
        <v>730</v>
      </c>
      <c r="U3" s="12" t="s">
        <v>31</v>
      </c>
      <c r="V3" s="15" t="s">
        <v>32</v>
      </c>
      <c r="W3" s="29">
        <v>124</v>
      </c>
      <c r="X3" s="13"/>
      <c r="Y3" s="16"/>
      <c r="Z3" s="17" t="s">
        <v>29</v>
      </c>
      <c r="AA3" s="13" t="s">
        <v>731</v>
      </c>
      <c r="AB3" s="13" t="s">
        <v>860</v>
      </c>
      <c r="AC3" s="12" t="s">
        <v>855</v>
      </c>
      <c r="AD3" s="12" t="s">
        <v>943</v>
      </c>
      <c r="AE3" s="13" t="s">
        <v>854</v>
      </c>
      <c r="AF3" s="12"/>
      <c r="AG3" s="12" t="s">
        <v>312</v>
      </c>
      <c r="AH3" s="12" t="s">
        <v>740</v>
      </c>
    </row>
    <row r="4" spans="1:34" s="17" customFormat="1" ht="52.8" hidden="1" customHeight="1" x14ac:dyDescent="0.25">
      <c r="A4" s="12">
        <v>2</v>
      </c>
      <c r="B4" s="12" t="str">
        <f>_xlfn.CONCAT("S", Table1[[#This Row],[No]])</f>
        <v>S2</v>
      </c>
      <c r="C4" s="12" t="s">
        <v>35</v>
      </c>
      <c r="D4" s="13" t="s">
        <v>734</v>
      </c>
      <c r="E4" s="12" t="s">
        <v>34</v>
      </c>
      <c r="F4" s="12" t="s">
        <v>853</v>
      </c>
      <c r="G4" s="13">
        <v>2016</v>
      </c>
      <c r="H4" s="13" t="b">
        <v>0</v>
      </c>
      <c r="I4" s="13" t="b">
        <v>1</v>
      </c>
      <c r="J4" s="13" t="b">
        <v>0</v>
      </c>
      <c r="K4" s="13" t="b">
        <v>0</v>
      </c>
      <c r="L4" s="13" t="b">
        <v>0</v>
      </c>
      <c r="M4" s="13" t="b">
        <v>0</v>
      </c>
      <c r="N4" s="17" t="s">
        <v>60</v>
      </c>
      <c r="Q4" s="13" t="b">
        <v>1</v>
      </c>
      <c r="R4" s="13" t="b">
        <v>1</v>
      </c>
      <c r="S4" s="13" t="b">
        <v>0</v>
      </c>
      <c r="T4" s="13" t="s">
        <v>730</v>
      </c>
      <c r="U4" s="12" t="s">
        <v>36</v>
      </c>
      <c r="V4" s="15" t="s">
        <v>38</v>
      </c>
      <c r="W4" s="29">
        <v>5</v>
      </c>
      <c r="X4" s="13">
        <v>8</v>
      </c>
      <c r="Y4" s="16" t="s">
        <v>39</v>
      </c>
      <c r="Z4" s="17" t="s">
        <v>61</v>
      </c>
      <c r="AA4" s="13" t="s">
        <v>731</v>
      </c>
      <c r="AB4" s="13" t="s">
        <v>856</v>
      </c>
      <c r="AC4" s="12"/>
      <c r="AD4" s="12"/>
      <c r="AE4" s="13" t="s">
        <v>812</v>
      </c>
      <c r="AF4" s="12"/>
      <c r="AG4" s="12" t="s">
        <v>312</v>
      </c>
      <c r="AH4" s="12" t="s">
        <v>741</v>
      </c>
    </row>
    <row r="5" spans="1:34" s="19" customFormat="1" ht="52.8" x14ac:dyDescent="0.25">
      <c r="A5" s="12">
        <v>3</v>
      </c>
      <c r="B5" s="12" t="str">
        <f>_xlfn.CONCAT("S", Table1[[#This Row],[No]])</f>
        <v>S3</v>
      </c>
      <c r="C5" s="12" t="s">
        <v>40</v>
      </c>
      <c r="D5" s="13" t="s">
        <v>732</v>
      </c>
      <c r="E5" s="12" t="s">
        <v>41</v>
      </c>
      <c r="F5" s="12" t="s">
        <v>42</v>
      </c>
      <c r="G5" s="13">
        <v>2017</v>
      </c>
      <c r="H5" s="13" t="b">
        <v>1</v>
      </c>
      <c r="I5" s="13" t="b">
        <v>1</v>
      </c>
      <c r="J5" s="13" t="b">
        <v>0</v>
      </c>
      <c r="K5" s="13" t="b">
        <v>0</v>
      </c>
      <c r="L5" s="13" t="b">
        <v>0</v>
      </c>
      <c r="M5" s="13" t="b">
        <v>0</v>
      </c>
      <c r="N5" s="17" t="s">
        <v>574</v>
      </c>
      <c r="O5" s="18" t="s">
        <v>43</v>
      </c>
      <c r="P5" s="17"/>
      <c r="Q5" s="13" t="b">
        <v>1</v>
      </c>
      <c r="R5" s="13" t="b">
        <v>1</v>
      </c>
      <c r="S5" s="13" t="b">
        <v>1</v>
      </c>
      <c r="T5" s="13" t="s">
        <v>730</v>
      </c>
      <c r="U5" s="12" t="s">
        <v>44</v>
      </c>
      <c r="V5" s="15" t="s">
        <v>45</v>
      </c>
      <c r="W5" s="29">
        <v>69</v>
      </c>
      <c r="X5" s="13"/>
      <c r="Y5" s="16" t="s">
        <v>46</v>
      </c>
      <c r="Z5" s="17" t="s">
        <v>29</v>
      </c>
      <c r="AA5" s="13" t="s">
        <v>731</v>
      </c>
      <c r="AB5" s="13" t="s">
        <v>739</v>
      </c>
      <c r="AC5" s="12" t="s">
        <v>858</v>
      </c>
      <c r="AD5" s="12" t="s">
        <v>943</v>
      </c>
      <c r="AE5" s="13" t="s">
        <v>859</v>
      </c>
      <c r="AF5" s="12"/>
      <c r="AG5" s="12" t="s">
        <v>312</v>
      </c>
      <c r="AH5" s="12" t="s">
        <v>753</v>
      </c>
    </row>
    <row r="6" spans="1:34" ht="52.8" x14ac:dyDescent="0.25">
      <c r="A6" s="12">
        <v>4</v>
      </c>
      <c r="B6" s="12" t="str">
        <f>_xlfn.CONCAT("S", Table1[[#This Row],[No]])</f>
        <v>S4</v>
      </c>
      <c r="C6" s="12" t="s">
        <v>48</v>
      </c>
      <c r="D6" s="13" t="s">
        <v>732</v>
      </c>
      <c r="E6" s="12" t="s">
        <v>49</v>
      </c>
      <c r="F6" s="12" t="s">
        <v>50</v>
      </c>
      <c r="G6" s="13">
        <v>2014</v>
      </c>
      <c r="H6" s="13" t="b">
        <v>1</v>
      </c>
      <c r="I6" s="13" t="b">
        <v>1</v>
      </c>
      <c r="J6" s="13" t="b">
        <v>0</v>
      </c>
      <c r="K6" s="13" t="b">
        <v>0</v>
      </c>
      <c r="L6" s="13" t="b">
        <v>0</v>
      </c>
      <c r="M6" s="13" t="b">
        <v>0</v>
      </c>
      <c r="N6" s="17" t="s">
        <v>748</v>
      </c>
      <c r="O6" s="18" t="s">
        <v>51</v>
      </c>
      <c r="P6" s="17"/>
      <c r="Q6" s="13" t="b">
        <v>1</v>
      </c>
      <c r="R6" s="13" t="b">
        <v>1</v>
      </c>
      <c r="S6" s="13" t="b">
        <v>1</v>
      </c>
      <c r="T6" s="13" t="s">
        <v>730</v>
      </c>
      <c r="U6" s="12" t="s">
        <v>52</v>
      </c>
      <c r="V6" s="15" t="s">
        <v>53</v>
      </c>
      <c r="W6" s="29">
        <v>91</v>
      </c>
      <c r="X6" s="13"/>
      <c r="Y6" s="16" t="s">
        <v>54</v>
      </c>
      <c r="Z6" s="17" t="s">
        <v>29</v>
      </c>
      <c r="AA6" s="13" t="s">
        <v>736</v>
      </c>
      <c r="AB6" s="13" t="s">
        <v>860</v>
      </c>
      <c r="AC6" s="12" t="s">
        <v>862</v>
      </c>
      <c r="AD6" s="12" t="s">
        <v>943</v>
      </c>
      <c r="AE6" s="13" t="s">
        <v>758</v>
      </c>
      <c r="AF6" s="12"/>
      <c r="AG6" s="12" t="s">
        <v>312</v>
      </c>
      <c r="AH6" s="12" t="s">
        <v>861</v>
      </c>
    </row>
    <row r="7" spans="1:34" ht="39.6" x14ac:dyDescent="0.25">
      <c r="A7" s="12">
        <v>5</v>
      </c>
      <c r="B7" s="12" t="str">
        <f>_xlfn.CONCAT("S", Table1[[#This Row],[No]])</f>
        <v>S5</v>
      </c>
      <c r="C7" s="12" t="s">
        <v>56</v>
      </c>
      <c r="D7" s="13" t="s">
        <v>732</v>
      </c>
      <c r="E7" s="12" t="s">
        <v>55</v>
      </c>
      <c r="F7" s="12" t="s">
        <v>57</v>
      </c>
      <c r="G7" s="13">
        <v>2017</v>
      </c>
      <c r="H7" s="13" t="b">
        <v>1</v>
      </c>
      <c r="I7" s="13" t="b">
        <v>1</v>
      </c>
      <c r="J7" s="13" t="b">
        <v>0</v>
      </c>
      <c r="K7" s="13" t="b">
        <v>0</v>
      </c>
      <c r="L7" s="13" t="b">
        <v>0</v>
      </c>
      <c r="M7" s="13" t="b">
        <v>0</v>
      </c>
      <c r="N7" s="17" t="s">
        <v>865</v>
      </c>
      <c r="O7" s="18" t="s">
        <v>58</v>
      </c>
      <c r="P7" s="17"/>
      <c r="Q7" s="13" t="b">
        <v>1</v>
      </c>
      <c r="R7" s="13" t="b">
        <v>1</v>
      </c>
      <c r="S7" s="13" t="b">
        <v>1</v>
      </c>
      <c r="T7" s="13" t="s">
        <v>733</v>
      </c>
      <c r="U7" s="12" t="s">
        <v>62</v>
      </c>
      <c r="V7" s="15" t="s">
        <v>45</v>
      </c>
      <c r="W7" s="29"/>
      <c r="X7" s="13"/>
      <c r="Y7" s="16"/>
      <c r="Z7" s="17" t="s">
        <v>59</v>
      </c>
      <c r="AA7" s="13" t="s">
        <v>731</v>
      </c>
      <c r="AB7" s="13" t="s">
        <v>739</v>
      </c>
      <c r="AC7" s="12" t="s">
        <v>864</v>
      </c>
      <c r="AD7" s="12" t="s">
        <v>943</v>
      </c>
      <c r="AE7" s="13" t="s">
        <v>760</v>
      </c>
      <c r="AF7" s="12" t="s">
        <v>863</v>
      </c>
      <c r="AG7" s="12" t="s">
        <v>312</v>
      </c>
      <c r="AH7" s="12" t="s">
        <v>945</v>
      </c>
    </row>
    <row r="8" spans="1:34" ht="52.8" hidden="1" customHeight="1" x14ac:dyDescent="0.25">
      <c r="A8" s="12">
        <v>6</v>
      </c>
      <c r="B8" s="12" t="str">
        <f>_xlfn.CONCAT("S", Table1[[#This Row],[No]])</f>
        <v>S6</v>
      </c>
      <c r="C8" s="12" t="s">
        <v>221</v>
      </c>
      <c r="D8" s="13" t="s">
        <v>734</v>
      </c>
      <c r="E8" s="12" t="s">
        <v>64</v>
      </c>
      <c r="F8" s="12" t="s">
        <v>65</v>
      </c>
      <c r="G8" s="13">
        <v>2018</v>
      </c>
      <c r="H8" s="13" t="b">
        <v>0</v>
      </c>
      <c r="I8" s="13" t="b">
        <v>1</v>
      </c>
      <c r="J8" s="13" t="b">
        <v>0</v>
      </c>
      <c r="K8" s="13" t="b">
        <v>0</v>
      </c>
      <c r="L8" s="13" t="b">
        <v>0</v>
      </c>
      <c r="M8" s="13" t="b">
        <v>0</v>
      </c>
      <c r="N8" s="17" t="s">
        <v>749</v>
      </c>
      <c r="O8" s="18" t="s">
        <v>68</v>
      </c>
      <c r="P8" s="17"/>
      <c r="Q8" s="13" t="b">
        <v>1</v>
      </c>
      <c r="R8" s="13" t="b">
        <v>1</v>
      </c>
      <c r="S8" s="13" t="b">
        <v>0</v>
      </c>
      <c r="T8" s="13" t="s">
        <v>730</v>
      </c>
      <c r="U8" s="12" t="s">
        <v>66</v>
      </c>
      <c r="V8" s="15"/>
      <c r="W8" s="29">
        <v>72</v>
      </c>
      <c r="X8" s="13"/>
      <c r="Y8" s="16" t="s">
        <v>67</v>
      </c>
      <c r="Z8" s="17" t="s">
        <v>29</v>
      </c>
      <c r="AA8" s="13" t="s">
        <v>735</v>
      </c>
      <c r="AB8" s="13" t="s">
        <v>856</v>
      </c>
      <c r="AC8" s="12"/>
      <c r="AD8" s="12"/>
      <c r="AE8" s="13" t="s">
        <v>854</v>
      </c>
      <c r="AF8" s="12"/>
      <c r="AG8" s="12" t="s">
        <v>312</v>
      </c>
      <c r="AH8" s="12" t="s">
        <v>866</v>
      </c>
    </row>
    <row r="9" spans="1:34" ht="79.2" hidden="1" x14ac:dyDescent="0.25">
      <c r="A9" s="12">
        <v>7</v>
      </c>
      <c r="B9" s="12" t="str">
        <f>_xlfn.CONCAT("S", Table1[[#This Row],[No]])</f>
        <v>S7</v>
      </c>
      <c r="C9" s="12" t="s">
        <v>74</v>
      </c>
      <c r="D9" s="13" t="s">
        <v>734</v>
      </c>
      <c r="E9" s="12" t="s">
        <v>69</v>
      </c>
      <c r="F9" s="12" t="s">
        <v>70</v>
      </c>
      <c r="G9" s="13">
        <v>2025</v>
      </c>
      <c r="H9" s="13" t="b">
        <v>1</v>
      </c>
      <c r="I9" s="13" t="b">
        <v>1</v>
      </c>
      <c r="J9" s="13" t="b">
        <v>1</v>
      </c>
      <c r="K9" s="13" t="b">
        <v>0</v>
      </c>
      <c r="L9" s="13" t="b">
        <v>0</v>
      </c>
      <c r="M9" s="13" t="b">
        <v>0</v>
      </c>
      <c r="N9" s="17" t="s">
        <v>750</v>
      </c>
      <c r="O9" s="18" t="s">
        <v>71</v>
      </c>
      <c r="P9" s="17"/>
      <c r="Q9" s="13" t="b">
        <v>1</v>
      </c>
      <c r="R9" s="13" t="b">
        <v>1</v>
      </c>
      <c r="S9" s="13" t="b">
        <v>1</v>
      </c>
      <c r="T9" s="13" t="s">
        <v>730</v>
      </c>
      <c r="U9" s="12" t="s">
        <v>72</v>
      </c>
      <c r="V9" s="15" t="s">
        <v>73</v>
      </c>
      <c r="W9" s="29">
        <v>88</v>
      </c>
      <c r="X9" s="13"/>
      <c r="Y9" s="16"/>
      <c r="Z9" s="17" t="s">
        <v>29</v>
      </c>
      <c r="AA9" s="13" t="s">
        <v>731</v>
      </c>
      <c r="AB9" s="13" t="s">
        <v>739</v>
      </c>
      <c r="AC9" s="12" t="s">
        <v>869</v>
      </c>
      <c r="AD9" s="12" t="s">
        <v>943</v>
      </c>
      <c r="AE9" s="13" t="s">
        <v>760</v>
      </c>
      <c r="AF9" s="12" t="s">
        <v>867</v>
      </c>
      <c r="AG9" s="12" t="s">
        <v>312</v>
      </c>
      <c r="AH9" s="12" t="s">
        <v>962</v>
      </c>
    </row>
    <row r="10" spans="1:34" ht="92.4" hidden="1" x14ac:dyDescent="0.25">
      <c r="A10" s="12">
        <v>8</v>
      </c>
      <c r="B10" s="12" t="str">
        <f>_xlfn.CONCAT("S", Table1[[#This Row],[No]])</f>
        <v>S8</v>
      </c>
      <c r="C10" s="12" t="s">
        <v>76</v>
      </c>
      <c r="D10" s="13" t="s">
        <v>734</v>
      </c>
      <c r="E10" s="12" t="s">
        <v>75</v>
      </c>
      <c r="F10" s="12" t="s">
        <v>77</v>
      </c>
      <c r="G10" s="13">
        <v>2011</v>
      </c>
      <c r="H10" s="13" t="b">
        <v>0</v>
      </c>
      <c r="I10" s="13" t="b">
        <v>1</v>
      </c>
      <c r="J10" s="13" t="b">
        <v>0</v>
      </c>
      <c r="K10" s="13" t="b">
        <v>0</v>
      </c>
      <c r="L10" s="13" t="b">
        <v>0</v>
      </c>
      <c r="M10" s="13" t="b">
        <v>0</v>
      </c>
      <c r="N10" s="17" t="s">
        <v>79</v>
      </c>
      <c r="O10" s="18" t="s">
        <v>83</v>
      </c>
      <c r="P10" s="17"/>
      <c r="Q10" s="13" t="b">
        <v>1</v>
      </c>
      <c r="R10" s="13" t="b">
        <v>1</v>
      </c>
      <c r="S10" s="13" t="b">
        <v>1</v>
      </c>
      <c r="T10" s="13" t="s">
        <v>733</v>
      </c>
      <c r="U10" s="12" t="s">
        <v>81</v>
      </c>
      <c r="V10" s="15" t="s">
        <v>82</v>
      </c>
      <c r="W10" s="29"/>
      <c r="X10" s="13"/>
      <c r="Y10" s="16" t="s">
        <v>80</v>
      </c>
      <c r="Z10" s="17" t="s">
        <v>78</v>
      </c>
      <c r="AA10" s="13" t="s">
        <v>731</v>
      </c>
      <c r="AB10" s="13" t="s">
        <v>739</v>
      </c>
      <c r="AC10" s="12" t="s">
        <v>870</v>
      </c>
      <c r="AD10" s="12" t="s">
        <v>947</v>
      </c>
      <c r="AE10" s="13" t="s">
        <v>871</v>
      </c>
      <c r="AF10" s="12"/>
      <c r="AG10" s="12" t="s">
        <v>312</v>
      </c>
      <c r="AH10" s="12" t="s">
        <v>946</v>
      </c>
    </row>
    <row r="11" spans="1:34" ht="52.8" x14ac:dyDescent="0.25">
      <c r="A11" s="12">
        <v>9</v>
      </c>
      <c r="B11" s="12" t="str">
        <f>_xlfn.CONCAT("S", Table1[[#This Row],[No]])</f>
        <v>S9</v>
      </c>
      <c r="C11" s="12" t="s">
        <v>85</v>
      </c>
      <c r="D11" s="13" t="s">
        <v>732</v>
      </c>
      <c r="E11" s="12" t="s">
        <v>84</v>
      </c>
      <c r="F11" s="12" t="s">
        <v>86</v>
      </c>
      <c r="G11" s="13">
        <v>2025</v>
      </c>
      <c r="H11" s="13" t="b">
        <v>1</v>
      </c>
      <c r="I11" s="13" t="b">
        <v>1</v>
      </c>
      <c r="J11" s="13" t="b">
        <v>0</v>
      </c>
      <c r="K11" s="13" t="b">
        <v>0</v>
      </c>
      <c r="L11" s="13" t="b">
        <v>0</v>
      </c>
      <c r="M11" s="13" t="b">
        <v>0</v>
      </c>
      <c r="N11" s="17" t="s">
        <v>747</v>
      </c>
      <c r="O11" s="18" t="s">
        <v>89</v>
      </c>
      <c r="P11" s="17"/>
      <c r="Q11" s="13" t="b">
        <v>1</v>
      </c>
      <c r="R11" s="13" t="b">
        <v>1</v>
      </c>
      <c r="S11" s="13" t="b">
        <v>1</v>
      </c>
      <c r="T11" s="13" t="s">
        <v>730</v>
      </c>
      <c r="U11" s="12" t="s">
        <v>87</v>
      </c>
      <c r="V11" s="15" t="s">
        <v>88</v>
      </c>
      <c r="W11" s="29">
        <v>235</v>
      </c>
      <c r="X11" s="13"/>
      <c r="Y11" s="16"/>
      <c r="Z11" s="17" t="s">
        <v>29</v>
      </c>
      <c r="AA11" s="13" t="s">
        <v>737</v>
      </c>
      <c r="AB11" s="13" t="s">
        <v>739</v>
      </c>
      <c r="AC11" s="12" t="s">
        <v>873</v>
      </c>
      <c r="AD11" s="12" t="s">
        <v>943</v>
      </c>
      <c r="AE11" s="13" t="s">
        <v>760</v>
      </c>
      <c r="AF11" s="12" t="s">
        <v>868</v>
      </c>
      <c r="AG11" s="12" t="s">
        <v>312</v>
      </c>
      <c r="AH11" s="12" t="s">
        <v>738</v>
      </c>
    </row>
    <row r="12" spans="1:34" ht="79.2" hidden="1" x14ac:dyDescent="0.25">
      <c r="A12" s="12">
        <v>10</v>
      </c>
      <c r="B12" s="12" t="str">
        <f>_xlfn.CONCAT("S", Table1[[#This Row],[No]])</f>
        <v>S10</v>
      </c>
      <c r="C12" s="12" t="s">
        <v>91</v>
      </c>
      <c r="D12" s="13" t="s">
        <v>734</v>
      </c>
      <c r="E12" s="12" t="s">
        <v>90</v>
      </c>
      <c r="F12" s="12" t="s">
        <v>92</v>
      </c>
      <c r="G12" s="13">
        <v>2017</v>
      </c>
      <c r="H12" s="13" t="b">
        <v>0</v>
      </c>
      <c r="I12" s="13" t="b">
        <v>1</v>
      </c>
      <c r="J12" s="13" t="b">
        <v>0</v>
      </c>
      <c r="K12" s="13" t="b">
        <v>0</v>
      </c>
      <c r="L12" s="13" t="b">
        <v>0</v>
      </c>
      <c r="M12" s="13" t="b">
        <v>0</v>
      </c>
      <c r="N12" s="17" t="s">
        <v>96</v>
      </c>
      <c r="O12" s="18" t="s">
        <v>93</v>
      </c>
      <c r="P12" s="17"/>
      <c r="Q12" s="13" t="b">
        <v>1</v>
      </c>
      <c r="R12" s="13" t="b">
        <v>1</v>
      </c>
      <c r="S12" s="13" t="b">
        <v>1</v>
      </c>
      <c r="T12" s="13" t="s">
        <v>730</v>
      </c>
      <c r="U12" s="12" t="s">
        <v>94</v>
      </c>
      <c r="V12" s="15" t="s">
        <v>97</v>
      </c>
      <c r="W12" s="29">
        <v>2017</v>
      </c>
      <c r="X12" s="13">
        <v>1</v>
      </c>
      <c r="Y12" s="16"/>
      <c r="Z12" s="17" t="s">
        <v>95</v>
      </c>
      <c r="AA12" s="13" t="s">
        <v>735</v>
      </c>
      <c r="AB12" s="13" t="s">
        <v>860</v>
      </c>
      <c r="AC12" s="12" t="s">
        <v>875</v>
      </c>
      <c r="AD12" s="12" t="s">
        <v>947</v>
      </c>
      <c r="AE12" s="13" t="s">
        <v>760</v>
      </c>
      <c r="AF12" s="12" t="s">
        <v>874</v>
      </c>
      <c r="AG12" s="12" t="s">
        <v>312</v>
      </c>
      <c r="AH12" s="12" t="s">
        <v>754</v>
      </c>
    </row>
    <row r="13" spans="1:34" ht="66" hidden="1" customHeight="1" x14ac:dyDescent="0.25">
      <c r="A13" s="12">
        <v>11</v>
      </c>
      <c r="B13" s="12" t="str">
        <f>_xlfn.CONCAT("S", Table1[[#This Row],[No]])</f>
        <v>S11</v>
      </c>
      <c r="C13" s="12" t="s">
        <v>98</v>
      </c>
      <c r="D13" s="13" t="s">
        <v>734</v>
      </c>
      <c r="E13" s="12" t="s">
        <v>277</v>
      </c>
      <c r="F13" s="12" t="s">
        <v>99</v>
      </c>
      <c r="G13" s="13">
        <v>2012</v>
      </c>
      <c r="H13" s="13" t="b">
        <v>0</v>
      </c>
      <c r="I13" s="13" t="b">
        <v>1</v>
      </c>
      <c r="J13" s="13" t="b">
        <v>0</v>
      </c>
      <c r="K13" s="13" t="b">
        <v>0</v>
      </c>
      <c r="L13" s="13" t="b">
        <v>0</v>
      </c>
      <c r="M13" s="13" t="b">
        <v>0</v>
      </c>
      <c r="N13" s="17" t="s">
        <v>747</v>
      </c>
      <c r="O13" s="18" t="s">
        <v>100</v>
      </c>
      <c r="P13" s="17"/>
      <c r="Q13" s="13" t="b">
        <v>1</v>
      </c>
      <c r="R13" s="13" t="b">
        <v>1</v>
      </c>
      <c r="S13" s="13" t="b">
        <v>0</v>
      </c>
      <c r="T13" s="13" t="s">
        <v>730</v>
      </c>
      <c r="U13" s="12" t="s">
        <v>87</v>
      </c>
      <c r="V13" s="15" t="s">
        <v>101</v>
      </c>
      <c r="W13" s="29">
        <v>85</v>
      </c>
      <c r="X13" s="13">
        <v>9</v>
      </c>
      <c r="Y13" s="16" t="s">
        <v>102</v>
      </c>
      <c r="Z13" s="17" t="s">
        <v>29</v>
      </c>
      <c r="AA13" s="13" t="s">
        <v>735</v>
      </c>
      <c r="AB13" s="13" t="s">
        <v>856</v>
      </c>
      <c r="AC13" s="12"/>
      <c r="AD13" s="12"/>
      <c r="AE13" s="13" t="s">
        <v>758</v>
      </c>
      <c r="AF13" s="12"/>
      <c r="AG13" s="12" t="s">
        <v>312</v>
      </c>
      <c r="AH13" s="12" t="s">
        <v>742</v>
      </c>
    </row>
    <row r="14" spans="1:34" ht="39.6" hidden="1" customHeight="1" x14ac:dyDescent="0.25">
      <c r="A14" s="12">
        <v>12</v>
      </c>
      <c r="B14" s="12" t="str">
        <f>_xlfn.CONCAT("S", Table1[[#This Row],[No]])</f>
        <v>S12</v>
      </c>
      <c r="C14" s="12" t="s">
        <v>103</v>
      </c>
      <c r="D14" s="13" t="s">
        <v>734</v>
      </c>
      <c r="E14" s="12" t="s">
        <v>104</v>
      </c>
      <c r="F14" s="12" t="s">
        <v>105</v>
      </c>
      <c r="G14" s="13">
        <v>2019</v>
      </c>
      <c r="H14" s="13" t="b">
        <v>0</v>
      </c>
      <c r="I14" s="13" t="b">
        <v>1</v>
      </c>
      <c r="J14" s="13" t="b">
        <v>0</v>
      </c>
      <c r="K14" s="13" t="b">
        <v>0</v>
      </c>
      <c r="L14" s="13" t="b">
        <v>0</v>
      </c>
      <c r="M14" s="13" t="b">
        <v>0</v>
      </c>
      <c r="N14" s="17" t="s">
        <v>109</v>
      </c>
      <c r="O14" s="18" t="s">
        <v>108</v>
      </c>
      <c r="P14" s="17"/>
      <c r="Q14" s="13" t="b">
        <v>1</v>
      </c>
      <c r="R14" s="13" t="b">
        <v>1</v>
      </c>
      <c r="S14" s="13" t="b">
        <v>0</v>
      </c>
      <c r="T14" s="13" t="s">
        <v>743</v>
      </c>
      <c r="U14" s="12" t="s">
        <v>107</v>
      </c>
      <c r="V14" s="15"/>
      <c r="W14" s="29"/>
      <c r="X14" s="13"/>
      <c r="Y14" s="16" t="s">
        <v>106</v>
      </c>
      <c r="Z14" s="17" t="s">
        <v>59</v>
      </c>
      <c r="AA14" s="13" t="s">
        <v>744</v>
      </c>
      <c r="AB14" s="13" t="s">
        <v>856</v>
      </c>
      <c r="AC14" s="12"/>
      <c r="AD14" s="12"/>
      <c r="AE14" s="13" t="s">
        <v>854</v>
      </c>
      <c r="AF14" s="12"/>
      <c r="AG14" s="12" t="s">
        <v>312</v>
      </c>
      <c r="AH14" s="12" t="s">
        <v>745</v>
      </c>
    </row>
    <row r="15" spans="1:34" ht="52.8" x14ac:dyDescent="0.25">
      <c r="A15" s="12">
        <v>13</v>
      </c>
      <c r="B15" s="12" t="str">
        <f>_xlfn.CONCAT("S", Table1[[#This Row],[No]])</f>
        <v>S13</v>
      </c>
      <c r="C15" s="12" t="s">
        <v>111</v>
      </c>
      <c r="D15" s="13" t="s">
        <v>732</v>
      </c>
      <c r="E15" s="12" t="s">
        <v>110</v>
      </c>
      <c r="F15" s="12" t="s">
        <v>278</v>
      </c>
      <c r="G15" s="13">
        <v>2022</v>
      </c>
      <c r="H15" s="13" t="b">
        <v>1</v>
      </c>
      <c r="I15" s="13" t="b">
        <v>1</v>
      </c>
      <c r="J15" s="13" t="b">
        <v>0</v>
      </c>
      <c r="K15" s="13" t="b">
        <v>0</v>
      </c>
      <c r="L15" s="13" t="b">
        <v>0</v>
      </c>
      <c r="M15" s="13" t="b">
        <v>0</v>
      </c>
      <c r="N15" s="17" t="s">
        <v>746</v>
      </c>
      <c r="O15" s="18" t="s">
        <v>112</v>
      </c>
      <c r="P15" s="17"/>
      <c r="Q15" s="13" t="b">
        <v>1</v>
      </c>
      <c r="R15" s="13" t="b">
        <v>1</v>
      </c>
      <c r="S15" s="13" t="b">
        <v>1</v>
      </c>
      <c r="T15" s="13" t="s">
        <v>730</v>
      </c>
      <c r="U15" s="12" t="s">
        <v>113</v>
      </c>
      <c r="V15" s="15" t="s">
        <v>114</v>
      </c>
      <c r="W15" s="29">
        <v>158</v>
      </c>
      <c r="X15" s="13"/>
      <c r="Y15" s="16"/>
      <c r="Z15" s="17" t="s">
        <v>29</v>
      </c>
      <c r="AA15" s="13" t="s">
        <v>744</v>
      </c>
      <c r="AB15" s="13" t="s">
        <v>759</v>
      </c>
      <c r="AC15" s="12" t="s">
        <v>877</v>
      </c>
      <c r="AD15" s="12" t="s">
        <v>943</v>
      </c>
      <c r="AE15" s="13" t="s">
        <v>758</v>
      </c>
      <c r="AF15" s="12"/>
      <c r="AG15" s="12" t="s">
        <v>312</v>
      </c>
      <c r="AH15" s="12" t="s">
        <v>876</v>
      </c>
    </row>
    <row r="16" spans="1:34" ht="39.6" hidden="1" customHeight="1" x14ac:dyDescent="0.25">
      <c r="A16" s="12">
        <v>14</v>
      </c>
      <c r="B16" s="12" t="str">
        <f>_xlfn.CONCAT("S", Table1[[#This Row],[No]])</f>
        <v>S14</v>
      </c>
      <c r="C16" s="12" t="s">
        <v>116</v>
      </c>
      <c r="D16" s="13" t="s">
        <v>734</v>
      </c>
      <c r="E16" s="12" t="s">
        <v>115</v>
      </c>
      <c r="F16" s="12" t="s">
        <v>117</v>
      </c>
      <c r="G16" s="13">
        <v>2025</v>
      </c>
      <c r="H16" s="13" t="b">
        <v>0</v>
      </c>
      <c r="I16" s="13" t="b">
        <v>1</v>
      </c>
      <c r="J16" s="13" t="b">
        <v>0</v>
      </c>
      <c r="K16" s="13" t="b">
        <v>0</v>
      </c>
      <c r="L16" s="13" t="b">
        <v>0</v>
      </c>
      <c r="M16" s="13" t="b">
        <v>0</v>
      </c>
      <c r="N16" s="17"/>
      <c r="O16" s="18" t="s">
        <v>119</v>
      </c>
      <c r="P16" s="17"/>
      <c r="Q16" s="13" t="b">
        <v>1</v>
      </c>
      <c r="R16" s="13" t="b">
        <v>1</v>
      </c>
      <c r="S16" s="13" t="b">
        <v>0</v>
      </c>
      <c r="T16" s="13" t="s">
        <v>733</v>
      </c>
      <c r="U16" s="12" t="s">
        <v>118</v>
      </c>
      <c r="V16" s="15" t="s">
        <v>120</v>
      </c>
      <c r="W16" s="29"/>
      <c r="X16" s="13"/>
      <c r="Y16" s="16"/>
      <c r="Z16" s="17" t="s">
        <v>63</v>
      </c>
      <c r="AA16" s="13" t="s">
        <v>731</v>
      </c>
      <c r="AB16" s="13" t="s">
        <v>856</v>
      </c>
      <c r="AC16" s="12"/>
      <c r="AD16" s="12"/>
      <c r="AE16" s="13" t="s">
        <v>760</v>
      </c>
      <c r="AF16" s="12" t="s">
        <v>878</v>
      </c>
      <c r="AG16" s="12" t="s">
        <v>312</v>
      </c>
      <c r="AH16" s="12" t="s">
        <v>751</v>
      </c>
    </row>
    <row r="17" spans="1:42" ht="52.8" x14ac:dyDescent="0.25">
      <c r="A17" s="12">
        <v>15</v>
      </c>
      <c r="B17" s="12" t="str">
        <f>_xlfn.CONCAT("S", Table1[[#This Row],[No]])</f>
        <v>S15</v>
      </c>
      <c r="C17" s="12" t="s">
        <v>121</v>
      </c>
      <c r="D17" s="13" t="s">
        <v>732</v>
      </c>
      <c r="E17" s="12" t="s">
        <v>279</v>
      </c>
      <c r="F17" s="12" t="s">
        <v>122</v>
      </c>
      <c r="G17" s="13">
        <v>2016</v>
      </c>
      <c r="H17" s="13" t="b">
        <v>1</v>
      </c>
      <c r="I17" s="13" t="b">
        <v>1</v>
      </c>
      <c r="J17" s="13" t="b">
        <v>0</v>
      </c>
      <c r="K17" s="13" t="b">
        <v>0</v>
      </c>
      <c r="L17" s="13" t="b">
        <v>0</v>
      </c>
      <c r="M17" s="13" t="b">
        <v>0</v>
      </c>
      <c r="N17" s="17" t="s">
        <v>752</v>
      </c>
      <c r="O17" s="18" t="s">
        <v>126</v>
      </c>
      <c r="P17" s="17"/>
      <c r="Q17" s="13" t="b">
        <v>1</v>
      </c>
      <c r="R17" s="13" t="b">
        <v>1</v>
      </c>
      <c r="S17" s="13" t="b">
        <v>1</v>
      </c>
      <c r="T17" s="13" t="s">
        <v>733</v>
      </c>
      <c r="U17" s="12" t="s">
        <v>125</v>
      </c>
      <c r="V17" s="15" t="s">
        <v>123</v>
      </c>
      <c r="W17" s="29"/>
      <c r="X17" s="13"/>
      <c r="Y17" s="16" t="s">
        <v>124</v>
      </c>
      <c r="Z17" s="17" t="s">
        <v>59</v>
      </c>
      <c r="AA17" s="13" t="s">
        <v>736</v>
      </c>
      <c r="AB17" s="13" t="s">
        <v>739</v>
      </c>
      <c r="AC17" s="12" t="s">
        <v>880</v>
      </c>
      <c r="AD17" s="12" t="s">
        <v>943</v>
      </c>
      <c r="AE17" s="13" t="s">
        <v>871</v>
      </c>
      <c r="AF17" s="12"/>
      <c r="AG17" s="12" t="s">
        <v>312</v>
      </c>
      <c r="AH17" s="12" t="s">
        <v>879</v>
      </c>
    </row>
    <row r="18" spans="1:42" ht="52.8" hidden="1" x14ac:dyDescent="0.25">
      <c r="A18" s="12">
        <v>16</v>
      </c>
      <c r="B18" s="12" t="str">
        <f>_xlfn.CONCAT("S", Table1[[#This Row],[No]])</f>
        <v>S16</v>
      </c>
      <c r="C18" s="12" t="s">
        <v>128</v>
      </c>
      <c r="D18" s="13" t="s">
        <v>734</v>
      </c>
      <c r="E18" s="12" t="s">
        <v>127</v>
      </c>
      <c r="F18" s="12" t="s">
        <v>129</v>
      </c>
      <c r="G18" s="13">
        <v>2018</v>
      </c>
      <c r="H18" s="13" t="b">
        <v>0</v>
      </c>
      <c r="I18" s="13" t="b">
        <v>1</v>
      </c>
      <c r="J18" s="13" t="b">
        <v>0</v>
      </c>
      <c r="K18" s="13" t="b">
        <v>0</v>
      </c>
      <c r="L18" s="13" t="b">
        <v>0</v>
      </c>
      <c r="M18" s="13" t="b">
        <v>0</v>
      </c>
      <c r="N18" s="17"/>
      <c r="O18" s="18" t="s">
        <v>131</v>
      </c>
      <c r="P18" s="17"/>
      <c r="Q18" s="13" t="b">
        <v>1</v>
      </c>
      <c r="R18" s="13" t="b">
        <v>1</v>
      </c>
      <c r="S18" s="13" t="b">
        <v>1</v>
      </c>
      <c r="T18" s="13" t="s">
        <v>730</v>
      </c>
      <c r="U18" s="12" t="s">
        <v>755</v>
      </c>
      <c r="V18" s="15" t="s">
        <v>130</v>
      </c>
      <c r="W18" s="29"/>
      <c r="X18" s="13"/>
      <c r="Y18" s="16"/>
      <c r="Z18" s="17" t="s">
        <v>132</v>
      </c>
      <c r="AA18" s="13" t="s">
        <v>737</v>
      </c>
      <c r="AB18" s="13" t="s">
        <v>759</v>
      </c>
      <c r="AC18" s="12"/>
      <c r="AD18" s="12" t="s">
        <v>947</v>
      </c>
      <c r="AE18" s="13" t="s">
        <v>859</v>
      </c>
      <c r="AF18" s="12"/>
      <c r="AG18" s="12" t="s">
        <v>312</v>
      </c>
      <c r="AH18" s="12" t="s">
        <v>881</v>
      </c>
      <c r="AL18" s="20"/>
      <c r="AP18" s="20"/>
    </row>
    <row r="19" spans="1:42" ht="39.6" hidden="1" customHeight="1" x14ac:dyDescent="0.25">
      <c r="A19" s="12">
        <v>17</v>
      </c>
      <c r="B19" s="12" t="str">
        <f>_xlfn.CONCAT("S", Table1[[#This Row],[No]])</f>
        <v>S17</v>
      </c>
      <c r="C19" s="12" t="s">
        <v>134</v>
      </c>
      <c r="D19" s="13" t="s">
        <v>734</v>
      </c>
      <c r="E19" s="12" t="s">
        <v>133</v>
      </c>
      <c r="F19" s="12" t="s">
        <v>135</v>
      </c>
      <c r="G19" s="13">
        <v>2026</v>
      </c>
      <c r="H19" s="13" t="b">
        <v>0</v>
      </c>
      <c r="I19" s="13" t="b">
        <v>1</v>
      </c>
      <c r="J19" s="13" t="b">
        <v>0</v>
      </c>
      <c r="K19" s="13" t="b">
        <v>0</v>
      </c>
      <c r="L19" s="13" t="b">
        <v>0</v>
      </c>
      <c r="M19" s="13" t="b">
        <v>0</v>
      </c>
      <c r="N19" s="17" t="s">
        <v>138</v>
      </c>
      <c r="O19" s="18" t="s">
        <v>137</v>
      </c>
      <c r="P19" s="17"/>
      <c r="Q19" s="13" t="b">
        <v>1</v>
      </c>
      <c r="R19" s="13" t="b">
        <v>1</v>
      </c>
      <c r="S19" s="13" t="b">
        <v>0</v>
      </c>
      <c r="T19" s="13" t="s">
        <v>730</v>
      </c>
      <c r="U19" s="12" t="s">
        <v>136</v>
      </c>
      <c r="V19" s="15" t="s">
        <v>139</v>
      </c>
      <c r="W19" s="29">
        <v>107</v>
      </c>
      <c r="X19" s="13">
        <v>2</v>
      </c>
      <c r="Y19" s="16" t="s">
        <v>140</v>
      </c>
      <c r="Z19" s="17" t="s">
        <v>141</v>
      </c>
      <c r="AA19" s="13" t="s">
        <v>737</v>
      </c>
      <c r="AB19" s="13" t="s">
        <v>856</v>
      </c>
      <c r="AC19" s="12"/>
      <c r="AD19" s="12"/>
      <c r="AE19" s="13" t="s">
        <v>760</v>
      </c>
      <c r="AF19" s="12" t="s">
        <v>882</v>
      </c>
      <c r="AG19" s="12" t="s">
        <v>312</v>
      </c>
      <c r="AH19" s="12" t="s">
        <v>756</v>
      </c>
    </row>
    <row r="20" spans="1:42" ht="39.6" x14ac:dyDescent="0.25">
      <c r="A20" s="12">
        <v>18</v>
      </c>
      <c r="B20" s="12" t="str">
        <f>_xlfn.CONCAT("S", Table1[[#This Row],[No]])</f>
        <v>S18</v>
      </c>
      <c r="C20" s="12" t="s">
        <v>142</v>
      </c>
      <c r="D20" s="13" t="s">
        <v>732</v>
      </c>
      <c r="E20" s="12" t="s">
        <v>280</v>
      </c>
      <c r="F20" s="12" t="s">
        <v>143</v>
      </c>
      <c r="G20" s="13">
        <v>2023</v>
      </c>
      <c r="H20" s="13" t="b">
        <v>1</v>
      </c>
      <c r="I20" s="13" t="b">
        <v>1</v>
      </c>
      <c r="J20" s="13" t="b">
        <v>0</v>
      </c>
      <c r="K20" s="13" t="b">
        <v>0</v>
      </c>
      <c r="L20" s="13" t="b">
        <v>0</v>
      </c>
      <c r="M20" s="13" t="b">
        <v>0</v>
      </c>
      <c r="N20" s="17" t="s">
        <v>757</v>
      </c>
      <c r="O20" s="18" t="s">
        <v>144</v>
      </c>
      <c r="P20" s="17"/>
      <c r="Q20" s="13" t="b">
        <v>1</v>
      </c>
      <c r="R20" s="13" t="b">
        <v>1</v>
      </c>
      <c r="S20" s="13" t="b">
        <v>1</v>
      </c>
      <c r="T20" s="13" t="s">
        <v>730</v>
      </c>
      <c r="U20" s="12" t="s">
        <v>145</v>
      </c>
      <c r="V20" s="15" t="s">
        <v>146</v>
      </c>
      <c r="W20" s="29">
        <v>78</v>
      </c>
      <c r="X20" s="13"/>
      <c r="Y20" s="16"/>
      <c r="Z20" s="17" t="s">
        <v>29</v>
      </c>
      <c r="AA20" s="13" t="s">
        <v>737</v>
      </c>
      <c r="AB20" s="13" t="s">
        <v>860</v>
      </c>
      <c r="AC20" s="12" t="s">
        <v>855</v>
      </c>
      <c r="AD20" s="12" t="s">
        <v>943</v>
      </c>
      <c r="AE20" s="13" t="s">
        <v>857</v>
      </c>
      <c r="AF20" s="12"/>
      <c r="AG20" s="12" t="s">
        <v>312</v>
      </c>
      <c r="AH20" s="12" t="s">
        <v>884</v>
      </c>
    </row>
    <row r="21" spans="1:42" ht="66" hidden="1" x14ac:dyDescent="0.25">
      <c r="A21" s="12">
        <v>19</v>
      </c>
      <c r="B21" s="12" t="str">
        <f>_xlfn.CONCAT("S", Table1[[#This Row],[No]])</f>
        <v>S19</v>
      </c>
      <c r="C21" s="12" t="s">
        <v>149</v>
      </c>
      <c r="D21" s="13" t="s">
        <v>734</v>
      </c>
      <c r="E21" s="12" t="s">
        <v>281</v>
      </c>
      <c r="F21" s="12" t="s">
        <v>150</v>
      </c>
      <c r="G21" s="13">
        <v>2011</v>
      </c>
      <c r="H21" s="13" t="b">
        <v>0</v>
      </c>
      <c r="I21" s="13" t="b">
        <v>1</v>
      </c>
      <c r="J21" s="13" t="b">
        <v>0</v>
      </c>
      <c r="K21" s="13" t="b">
        <v>0</v>
      </c>
      <c r="L21" s="13" t="b">
        <v>0</v>
      </c>
      <c r="M21" s="13" t="b">
        <v>0</v>
      </c>
      <c r="N21" s="17" t="s">
        <v>152</v>
      </c>
      <c r="O21" s="18" t="s">
        <v>153</v>
      </c>
      <c r="P21" s="17"/>
      <c r="Q21" s="13" t="b">
        <v>1</v>
      </c>
      <c r="R21" s="13" t="b">
        <v>1</v>
      </c>
      <c r="S21" s="13" t="b">
        <v>1</v>
      </c>
      <c r="T21" s="13" t="s">
        <v>733</v>
      </c>
      <c r="U21" s="12" t="s">
        <v>148</v>
      </c>
      <c r="V21" s="15" t="s">
        <v>151</v>
      </c>
      <c r="W21" s="29"/>
      <c r="X21" s="13"/>
      <c r="Y21" s="16"/>
      <c r="Z21" s="17" t="s">
        <v>63</v>
      </c>
      <c r="AA21" s="13" t="s">
        <v>735</v>
      </c>
      <c r="AB21" s="13" t="s">
        <v>886</v>
      </c>
      <c r="AC21" s="12" t="s">
        <v>885</v>
      </c>
      <c r="AD21" s="12" t="s">
        <v>947</v>
      </c>
      <c r="AE21" s="13" t="s">
        <v>758</v>
      </c>
      <c r="AF21" s="12"/>
      <c r="AG21" s="12" t="s">
        <v>312</v>
      </c>
      <c r="AH21" s="12" t="s">
        <v>948</v>
      </c>
    </row>
    <row r="22" spans="1:42" ht="39.6" hidden="1" customHeight="1" x14ac:dyDescent="0.25">
      <c r="A22" s="12">
        <v>20</v>
      </c>
      <c r="B22" s="12" t="str">
        <f>_xlfn.CONCAT("S", Table1[[#This Row],[No]])</f>
        <v>S20</v>
      </c>
      <c r="C22" s="12" t="s">
        <v>155</v>
      </c>
      <c r="D22" s="13" t="s">
        <v>734</v>
      </c>
      <c r="E22" s="12" t="s">
        <v>154</v>
      </c>
      <c r="F22" s="12" t="s">
        <v>156</v>
      </c>
      <c r="G22" s="13">
        <v>2013</v>
      </c>
      <c r="H22" s="13" t="b">
        <v>0</v>
      </c>
      <c r="I22" s="13" t="b">
        <v>1</v>
      </c>
      <c r="J22" s="13" t="b">
        <v>0</v>
      </c>
      <c r="K22" s="13" t="b">
        <v>0</v>
      </c>
      <c r="L22" s="13" t="b">
        <v>0</v>
      </c>
      <c r="M22" s="13" t="b">
        <v>0</v>
      </c>
      <c r="N22" s="17" t="s">
        <v>160</v>
      </c>
      <c r="O22" s="18" t="s">
        <v>159</v>
      </c>
      <c r="P22" s="17"/>
      <c r="Q22" s="13" t="b">
        <v>1</v>
      </c>
      <c r="R22" s="13" t="b">
        <v>1</v>
      </c>
      <c r="S22" s="13" t="b">
        <v>0</v>
      </c>
      <c r="T22" s="13" t="s">
        <v>730</v>
      </c>
      <c r="U22" s="12" t="s">
        <v>158</v>
      </c>
      <c r="V22" s="15"/>
      <c r="W22" s="29"/>
      <c r="X22" s="13"/>
      <c r="Y22" s="16" t="s">
        <v>157</v>
      </c>
      <c r="Z22" s="17" t="s">
        <v>59</v>
      </c>
      <c r="AA22" s="13" t="s">
        <v>737</v>
      </c>
      <c r="AB22" s="13" t="s">
        <v>856</v>
      </c>
      <c r="AC22" s="12"/>
      <c r="AD22" s="12"/>
      <c r="AE22" s="13" t="s">
        <v>859</v>
      </c>
      <c r="AF22" s="12"/>
      <c r="AG22" s="12" t="s">
        <v>312</v>
      </c>
      <c r="AH22" s="12" t="s">
        <v>761</v>
      </c>
    </row>
    <row r="23" spans="1:42" ht="39.6" hidden="1" customHeight="1" x14ac:dyDescent="0.25">
      <c r="A23" s="12">
        <v>21</v>
      </c>
      <c r="B23" s="12" t="str">
        <f>_xlfn.CONCAT("S", Table1[[#This Row],[No]])</f>
        <v>S21</v>
      </c>
      <c r="C23" s="12" t="s">
        <v>162</v>
      </c>
      <c r="D23" s="13" t="s">
        <v>734</v>
      </c>
      <c r="E23" s="12" t="s">
        <v>161</v>
      </c>
      <c r="F23" s="12" t="s">
        <v>163</v>
      </c>
      <c r="G23" s="13">
        <v>2016</v>
      </c>
      <c r="H23" s="13" t="b">
        <v>0</v>
      </c>
      <c r="I23" s="13" t="b">
        <v>1</v>
      </c>
      <c r="J23" s="13" t="b">
        <v>0</v>
      </c>
      <c r="K23" s="13" t="b">
        <v>0</v>
      </c>
      <c r="L23" s="13" t="b">
        <v>0</v>
      </c>
      <c r="M23" s="13" t="b">
        <v>0</v>
      </c>
      <c r="N23" s="17"/>
      <c r="O23" s="18" t="s">
        <v>165</v>
      </c>
      <c r="P23" s="18" t="s">
        <v>167</v>
      </c>
      <c r="Q23" s="13" t="b">
        <v>1</v>
      </c>
      <c r="R23" s="13" t="b">
        <v>1</v>
      </c>
      <c r="S23" s="13" t="b">
        <v>0</v>
      </c>
      <c r="T23" s="13" t="s">
        <v>730</v>
      </c>
      <c r="U23" s="12" t="s">
        <v>164</v>
      </c>
      <c r="V23" s="15" t="s">
        <v>166</v>
      </c>
      <c r="W23" s="29"/>
      <c r="X23" s="13"/>
      <c r="Y23" s="16"/>
      <c r="Z23" s="17" t="s">
        <v>168</v>
      </c>
      <c r="AA23" s="13" t="s">
        <v>735</v>
      </c>
      <c r="AB23" s="13" t="s">
        <v>856</v>
      </c>
      <c r="AC23" s="12"/>
      <c r="AD23" s="12"/>
      <c r="AE23" s="13" t="s">
        <v>871</v>
      </c>
      <c r="AF23" s="12"/>
      <c r="AG23" s="12" t="s">
        <v>312</v>
      </c>
      <c r="AH23" s="12" t="s">
        <v>887</v>
      </c>
    </row>
    <row r="24" spans="1:42" ht="39.6" hidden="1" customHeight="1" x14ac:dyDescent="0.25">
      <c r="A24" s="12">
        <v>22</v>
      </c>
      <c r="B24" s="12" t="str">
        <f>_xlfn.CONCAT("S", Table1[[#This Row],[No]])</f>
        <v>S22</v>
      </c>
      <c r="C24" s="12" t="s">
        <v>170</v>
      </c>
      <c r="D24" s="13" t="s">
        <v>734</v>
      </c>
      <c r="E24" s="12" t="s">
        <v>169</v>
      </c>
      <c r="F24" s="12" t="s">
        <v>171</v>
      </c>
      <c r="G24" s="13">
        <v>2018</v>
      </c>
      <c r="H24" s="13" t="b">
        <v>0</v>
      </c>
      <c r="I24" s="13" t="b">
        <v>1</v>
      </c>
      <c r="J24" s="13" t="b">
        <v>0</v>
      </c>
      <c r="K24" s="13" t="b">
        <v>0</v>
      </c>
      <c r="L24" s="13" t="b">
        <v>0</v>
      </c>
      <c r="M24" s="13" t="b">
        <v>0</v>
      </c>
      <c r="N24" s="17" t="s">
        <v>173</v>
      </c>
      <c r="O24" s="1" t="s">
        <v>174</v>
      </c>
      <c r="P24" s="1" t="s">
        <v>286</v>
      </c>
      <c r="Q24" s="13" t="b">
        <v>1</v>
      </c>
      <c r="R24" s="13" t="b">
        <v>1</v>
      </c>
      <c r="S24" s="13" t="b">
        <v>0</v>
      </c>
      <c r="T24" s="13" t="s">
        <v>743</v>
      </c>
      <c r="U24" s="12" t="s">
        <v>172</v>
      </c>
      <c r="V24" s="15" t="s">
        <v>175</v>
      </c>
      <c r="W24" s="29">
        <v>4</v>
      </c>
      <c r="X24" s="13">
        <v>1</v>
      </c>
      <c r="Y24" s="16"/>
      <c r="Z24" s="17"/>
      <c r="AA24" s="13" t="s">
        <v>731</v>
      </c>
      <c r="AB24" s="13" t="s">
        <v>856</v>
      </c>
      <c r="AC24" s="12"/>
      <c r="AD24" s="12"/>
      <c r="AE24" s="13" t="s">
        <v>888</v>
      </c>
      <c r="AF24" s="12"/>
      <c r="AG24" s="12" t="s">
        <v>312</v>
      </c>
      <c r="AH24" s="12" t="s">
        <v>762</v>
      </c>
    </row>
    <row r="25" spans="1:42" ht="52.8" hidden="1" customHeight="1" x14ac:dyDescent="0.25">
      <c r="A25" s="12">
        <v>23</v>
      </c>
      <c r="B25" s="12" t="str">
        <f>_xlfn.CONCAT("S", Table1[[#This Row],[No]])</f>
        <v>S23</v>
      </c>
      <c r="C25" s="12" t="s">
        <v>177</v>
      </c>
      <c r="D25" s="13" t="s">
        <v>734</v>
      </c>
      <c r="E25" s="12" t="s">
        <v>282</v>
      </c>
      <c r="F25" s="12" t="s">
        <v>178</v>
      </c>
      <c r="G25" s="13">
        <v>2011</v>
      </c>
      <c r="H25" s="13" t="b">
        <v>0</v>
      </c>
      <c r="I25" s="13" t="b">
        <v>1</v>
      </c>
      <c r="J25" s="13" t="b">
        <v>0</v>
      </c>
      <c r="K25" s="13" t="b">
        <v>0</v>
      </c>
      <c r="L25" s="13" t="b">
        <v>0</v>
      </c>
      <c r="M25" s="13" t="b">
        <v>0</v>
      </c>
      <c r="N25" s="17" t="s">
        <v>180</v>
      </c>
      <c r="O25" s="18" t="s">
        <v>179</v>
      </c>
      <c r="P25" s="23"/>
      <c r="Q25" s="13" t="b">
        <v>1</v>
      </c>
      <c r="R25" s="13" t="b">
        <v>1</v>
      </c>
      <c r="S25" s="13" t="b">
        <v>0</v>
      </c>
      <c r="T25" s="13" t="s">
        <v>733</v>
      </c>
      <c r="U25" s="12" t="s">
        <v>176</v>
      </c>
      <c r="V25" s="15" t="s">
        <v>33</v>
      </c>
      <c r="W25" s="29"/>
      <c r="X25" s="13"/>
      <c r="Y25" s="16"/>
      <c r="Z25" s="17" t="s">
        <v>63</v>
      </c>
      <c r="AA25" s="13" t="s">
        <v>736</v>
      </c>
      <c r="AB25" s="13" t="s">
        <v>856</v>
      </c>
      <c r="AC25" s="12"/>
      <c r="AD25" s="12"/>
      <c r="AE25" s="13" t="s">
        <v>758</v>
      </c>
      <c r="AF25" s="12"/>
      <c r="AG25" s="12" t="s">
        <v>312</v>
      </c>
      <c r="AH25" s="12" t="s">
        <v>889</v>
      </c>
    </row>
    <row r="26" spans="1:42" ht="52.8" hidden="1" customHeight="1" x14ac:dyDescent="0.25">
      <c r="A26" s="12">
        <v>24</v>
      </c>
      <c r="B26" s="12" t="str">
        <f>_xlfn.CONCAT("S", Table1[[#This Row],[No]])</f>
        <v>S24</v>
      </c>
      <c r="C26" s="12" t="s">
        <v>182</v>
      </c>
      <c r="D26" s="13" t="s">
        <v>734</v>
      </c>
      <c r="E26" s="12" t="s">
        <v>181</v>
      </c>
      <c r="F26" s="12" t="s">
        <v>183</v>
      </c>
      <c r="G26" s="13">
        <v>2016</v>
      </c>
      <c r="H26" s="13" t="b">
        <v>0</v>
      </c>
      <c r="I26" s="13" t="b">
        <v>1</v>
      </c>
      <c r="J26" s="13" t="b">
        <v>0</v>
      </c>
      <c r="K26" s="13" t="b">
        <v>0</v>
      </c>
      <c r="L26" s="13" t="b">
        <v>0</v>
      </c>
      <c r="M26" s="13" t="b">
        <v>0</v>
      </c>
      <c r="N26" s="17" t="s">
        <v>763</v>
      </c>
      <c r="O26" s="18" t="s">
        <v>185</v>
      </c>
      <c r="P26" s="23"/>
      <c r="Q26" s="13" t="b">
        <v>1</v>
      </c>
      <c r="R26" s="13" t="b">
        <v>1</v>
      </c>
      <c r="S26" s="13" t="b">
        <v>0</v>
      </c>
      <c r="T26" s="13" t="s">
        <v>733</v>
      </c>
      <c r="U26" s="12" t="s">
        <v>184</v>
      </c>
      <c r="V26" s="15" t="s">
        <v>186</v>
      </c>
      <c r="W26" s="29"/>
      <c r="X26" s="13"/>
      <c r="Y26" s="16"/>
      <c r="Z26" s="17" t="s">
        <v>63</v>
      </c>
      <c r="AA26" s="13" t="s">
        <v>736</v>
      </c>
      <c r="AB26" s="13" t="s">
        <v>856</v>
      </c>
      <c r="AC26" s="12"/>
      <c r="AD26" s="12"/>
      <c r="AE26" s="13" t="s">
        <v>760</v>
      </c>
      <c r="AF26" s="12" t="s">
        <v>890</v>
      </c>
      <c r="AG26" s="12" t="s">
        <v>312</v>
      </c>
      <c r="AH26" s="12" t="s">
        <v>764</v>
      </c>
    </row>
    <row r="27" spans="1:42" ht="66" hidden="1" x14ac:dyDescent="0.25">
      <c r="A27" s="12">
        <v>25</v>
      </c>
      <c r="B27" s="12" t="str">
        <f>_xlfn.CONCAT("S", Table1[[#This Row],[No]])</f>
        <v>S25</v>
      </c>
      <c r="C27" s="12" t="s">
        <v>187</v>
      </c>
      <c r="D27" s="13" t="s">
        <v>734</v>
      </c>
      <c r="E27" s="12" t="s">
        <v>188</v>
      </c>
      <c r="F27" s="12" t="s">
        <v>189</v>
      </c>
      <c r="G27" s="13">
        <v>2024</v>
      </c>
      <c r="H27" s="13" t="b">
        <v>0</v>
      </c>
      <c r="I27" s="13" t="b">
        <v>1</v>
      </c>
      <c r="J27" s="13" t="b">
        <v>0</v>
      </c>
      <c r="K27" s="13" t="b">
        <v>0</v>
      </c>
      <c r="L27" s="13" t="b">
        <v>0</v>
      </c>
      <c r="M27" s="13" t="b">
        <v>0</v>
      </c>
      <c r="N27" s="17" t="s">
        <v>190</v>
      </c>
      <c r="O27" s="18" t="s">
        <v>191</v>
      </c>
      <c r="P27" s="23"/>
      <c r="Q27" s="13" t="b">
        <v>1</v>
      </c>
      <c r="R27" s="13" t="b">
        <v>1</v>
      </c>
      <c r="S27" s="13" t="b">
        <v>1</v>
      </c>
      <c r="T27" s="13" t="s">
        <v>733</v>
      </c>
      <c r="U27" s="12" t="s">
        <v>192</v>
      </c>
      <c r="V27" s="15" t="s">
        <v>47</v>
      </c>
      <c r="W27" s="29"/>
      <c r="X27" s="13"/>
      <c r="Y27" s="16" t="s">
        <v>200</v>
      </c>
      <c r="Z27" s="17" t="s">
        <v>78</v>
      </c>
      <c r="AA27" s="13" t="s">
        <v>744</v>
      </c>
      <c r="AB27" s="13" t="s">
        <v>886</v>
      </c>
      <c r="AC27" s="12"/>
      <c r="AD27" s="12" t="s">
        <v>947</v>
      </c>
      <c r="AE27" s="13" t="s">
        <v>760</v>
      </c>
      <c r="AF27" s="12" t="s">
        <v>890</v>
      </c>
      <c r="AG27" s="12" t="s">
        <v>312</v>
      </c>
      <c r="AH27" s="12" t="s">
        <v>765</v>
      </c>
    </row>
    <row r="28" spans="1:42" ht="137.4" customHeight="1" x14ac:dyDescent="0.25">
      <c r="A28" s="12">
        <v>26</v>
      </c>
      <c r="B28" s="12" t="str">
        <f>_xlfn.CONCAT("S", Table1[[#This Row],[No]])</f>
        <v>S26</v>
      </c>
      <c r="C28" s="12" t="s">
        <v>194</v>
      </c>
      <c r="D28" s="13" t="s">
        <v>732</v>
      </c>
      <c r="E28" s="12" t="s">
        <v>193</v>
      </c>
      <c r="F28" s="12" t="s">
        <v>195</v>
      </c>
      <c r="G28" s="13">
        <v>2015</v>
      </c>
      <c r="H28" s="13" t="b">
        <v>1</v>
      </c>
      <c r="I28" s="13" t="b">
        <v>1</v>
      </c>
      <c r="J28" s="13" t="b">
        <v>0</v>
      </c>
      <c r="K28" s="13" t="b">
        <v>0</v>
      </c>
      <c r="L28" s="13" t="b">
        <v>0</v>
      </c>
      <c r="M28" s="13" t="b">
        <v>0</v>
      </c>
      <c r="N28" s="17" t="s">
        <v>198</v>
      </c>
      <c r="O28" s="18" t="s">
        <v>197</v>
      </c>
      <c r="P28" s="23"/>
      <c r="Q28" s="13" t="b">
        <v>1</v>
      </c>
      <c r="R28" s="13" t="b">
        <v>1</v>
      </c>
      <c r="S28" s="13" t="b">
        <v>1</v>
      </c>
      <c r="T28" s="13" t="s">
        <v>766</v>
      </c>
      <c r="U28" s="12" t="s">
        <v>196</v>
      </c>
      <c r="V28" s="15" t="s">
        <v>199</v>
      </c>
      <c r="W28" s="29"/>
      <c r="X28" s="13"/>
      <c r="Y28" s="16"/>
      <c r="Z28" s="17" t="s">
        <v>63</v>
      </c>
      <c r="AA28" s="13" t="s">
        <v>731</v>
      </c>
      <c r="AB28" s="13" t="s">
        <v>767</v>
      </c>
      <c r="AC28" s="12" t="s">
        <v>870</v>
      </c>
      <c r="AD28" s="12" t="s">
        <v>943</v>
      </c>
      <c r="AE28" s="13" t="s">
        <v>857</v>
      </c>
      <c r="AF28" s="12"/>
      <c r="AG28" s="12" t="s">
        <v>312</v>
      </c>
      <c r="AH28" s="12" t="s">
        <v>949</v>
      </c>
    </row>
    <row r="29" spans="1:42" ht="39.6" x14ac:dyDescent="0.25">
      <c r="A29" s="12">
        <v>27</v>
      </c>
      <c r="B29" s="12" t="str">
        <f>_xlfn.CONCAT("S", Table1[[#This Row],[No]])</f>
        <v>S27</v>
      </c>
      <c r="C29" s="12" t="s">
        <v>202</v>
      </c>
      <c r="D29" s="13" t="s">
        <v>732</v>
      </c>
      <c r="E29" s="12" t="s">
        <v>201</v>
      </c>
      <c r="F29" s="12" t="s">
        <v>203</v>
      </c>
      <c r="G29" s="13">
        <v>2014</v>
      </c>
      <c r="H29" s="13" t="b">
        <v>1</v>
      </c>
      <c r="I29" s="13" t="b">
        <v>1</v>
      </c>
      <c r="J29" s="13" t="b">
        <v>0</v>
      </c>
      <c r="K29" s="13" t="b">
        <v>0</v>
      </c>
      <c r="L29" s="13" t="b">
        <v>0</v>
      </c>
      <c r="M29" s="13" t="b">
        <v>0</v>
      </c>
      <c r="N29" s="17"/>
      <c r="O29" s="18" t="s">
        <v>205</v>
      </c>
      <c r="P29" s="23"/>
      <c r="Q29" s="13" t="b">
        <v>1</v>
      </c>
      <c r="R29" s="13" t="b">
        <v>1</v>
      </c>
      <c r="S29" s="13" t="b">
        <v>1</v>
      </c>
      <c r="T29" s="13" t="s">
        <v>733</v>
      </c>
      <c r="U29" s="12" t="s">
        <v>204</v>
      </c>
      <c r="V29" s="15" t="s">
        <v>206</v>
      </c>
      <c r="W29" s="29"/>
      <c r="X29" s="13"/>
      <c r="Y29" s="16"/>
      <c r="Z29" s="17" t="s">
        <v>63</v>
      </c>
      <c r="AA29" s="13" t="s">
        <v>731</v>
      </c>
      <c r="AB29" s="13" t="s">
        <v>739</v>
      </c>
      <c r="AC29" s="12" t="s">
        <v>891</v>
      </c>
      <c r="AD29" s="12" t="s">
        <v>943</v>
      </c>
      <c r="AE29" s="13" t="s">
        <v>859</v>
      </c>
      <c r="AF29" s="12"/>
      <c r="AG29" s="12" t="s">
        <v>312</v>
      </c>
      <c r="AH29" s="12" t="s">
        <v>768</v>
      </c>
    </row>
    <row r="30" spans="1:42" ht="52.8" x14ac:dyDescent="0.25">
      <c r="A30" s="12">
        <v>28</v>
      </c>
      <c r="B30" s="12" t="str">
        <f>_xlfn.CONCAT("S", Table1[[#This Row],[No]])</f>
        <v>S28</v>
      </c>
      <c r="C30" s="12" t="s">
        <v>208</v>
      </c>
      <c r="D30" s="13" t="s">
        <v>732</v>
      </c>
      <c r="E30" s="12" t="s">
        <v>207</v>
      </c>
      <c r="F30" s="12" t="s">
        <v>283</v>
      </c>
      <c r="G30" s="13">
        <v>2017</v>
      </c>
      <c r="H30" s="13" t="b">
        <v>1</v>
      </c>
      <c r="I30" s="13" t="b">
        <v>1</v>
      </c>
      <c r="J30" s="13" t="b">
        <v>0</v>
      </c>
      <c r="K30" s="13" t="b">
        <v>0</v>
      </c>
      <c r="L30" s="13" t="b">
        <v>0</v>
      </c>
      <c r="M30" s="13" t="b">
        <v>0</v>
      </c>
      <c r="N30" s="17" t="s">
        <v>769</v>
      </c>
      <c r="O30" s="18" t="s">
        <v>209</v>
      </c>
      <c r="P30" s="23"/>
      <c r="Q30" s="13" t="b">
        <v>1</v>
      </c>
      <c r="R30" s="13" t="b">
        <v>1</v>
      </c>
      <c r="S30" s="13" t="b">
        <v>1</v>
      </c>
      <c r="T30" s="13" t="s">
        <v>730</v>
      </c>
      <c r="U30" s="12" t="s">
        <v>210</v>
      </c>
      <c r="V30" s="15" t="s">
        <v>97</v>
      </c>
      <c r="W30" s="29">
        <v>90</v>
      </c>
      <c r="X30" s="13"/>
      <c r="Y30" s="16" t="s">
        <v>211</v>
      </c>
      <c r="Z30" s="17" t="s">
        <v>29</v>
      </c>
      <c r="AA30" s="13" t="s">
        <v>736</v>
      </c>
      <c r="AB30" s="13" t="s">
        <v>860</v>
      </c>
      <c r="AC30" s="12" t="s">
        <v>892</v>
      </c>
      <c r="AD30" s="12" t="s">
        <v>943</v>
      </c>
      <c r="AE30" s="13" t="s">
        <v>888</v>
      </c>
      <c r="AF30" s="12"/>
      <c r="AG30" s="12" t="s">
        <v>312</v>
      </c>
      <c r="AH30" s="12" t="s">
        <v>770</v>
      </c>
    </row>
    <row r="31" spans="1:42" ht="79.2" hidden="1" x14ac:dyDescent="0.25">
      <c r="A31" s="12">
        <v>29</v>
      </c>
      <c r="B31" s="12" t="str">
        <f>_xlfn.CONCAT("S", Table1[[#This Row],[No]])</f>
        <v>S29</v>
      </c>
      <c r="C31" s="12" t="s">
        <v>213</v>
      </c>
      <c r="D31" s="13" t="s">
        <v>734</v>
      </c>
      <c r="E31" s="12" t="s">
        <v>212</v>
      </c>
      <c r="F31" s="12" t="s">
        <v>214</v>
      </c>
      <c r="G31" s="13">
        <v>2014</v>
      </c>
      <c r="H31" s="13" t="b">
        <v>0</v>
      </c>
      <c r="I31" s="13" t="b">
        <v>1</v>
      </c>
      <c r="J31" s="13" t="b">
        <v>0</v>
      </c>
      <c r="K31" s="13" t="b">
        <v>0</v>
      </c>
      <c r="L31" s="13" t="b">
        <v>0</v>
      </c>
      <c r="M31" s="13" t="b">
        <v>0</v>
      </c>
      <c r="N31" s="17" t="s">
        <v>771</v>
      </c>
      <c r="O31" s="18" t="s">
        <v>215</v>
      </c>
      <c r="P31" s="17"/>
      <c r="Q31" s="13" t="b">
        <v>1</v>
      </c>
      <c r="R31" s="13" t="b">
        <v>1</v>
      </c>
      <c r="S31" s="13" t="b">
        <v>1</v>
      </c>
      <c r="T31" s="13" t="s">
        <v>730</v>
      </c>
      <c r="U31" s="12" t="s">
        <v>217</v>
      </c>
      <c r="V31" s="15" t="s">
        <v>216</v>
      </c>
      <c r="W31" s="29"/>
      <c r="X31" s="13">
        <v>14</v>
      </c>
      <c r="Y31" s="16" t="s">
        <v>218</v>
      </c>
      <c r="Z31" s="12" t="s">
        <v>78</v>
      </c>
      <c r="AA31" s="13" t="s">
        <v>731</v>
      </c>
      <c r="AB31" s="13" t="s">
        <v>739</v>
      </c>
      <c r="AC31" s="12"/>
      <c r="AD31" s="12" t="s">
        <v>947</v>
      </c>
      <c r="AE31" s="13" t="s">
        <v>871</v>
      </c>
      <c r="AF31" s="12"/>
      <c r="AG31" s="12" t="s">
        <v>312</v>
      </c>
      <c r="AH31" s="12" t="s">
        <v>963</v>
      </c>
    </row>
    <row r="32" spans="1:42" ht="52.8" hidden="1" customHeight="1" x14ac:dyDescent="0.25">
      <c r="A32" s="12">
        <v>30</v>
      </c>
      <c r="B32" s="12" t="str">
        <f>_xlfn.CONCAT("S", Table1[[#This Row],[No]])</f>
        <v>S30</v>
      </c>
      <c r="C32" s="12" t="s">
        <v>220</v>
      </c>
      <c r="D32" s="13" t="s">
        <v>734</v>
      </c>
      <c r="E32" s="12" t="s">
        <v>219</v>
      </c>
      <c r="F32" s="12" t="s">
        <v>222</v>
      </c>
      <c r="G32" s="13">
        <v>2017</v>
      </c>
      <c r="H32" s="13" t="b">
        <v>0</v>
      </c>
      <c r="I32" s="13" t="b">
        <v>1</v>
      </c>
      <c r="J32" s="13" t="b">
        <v>0</v>
      </c>
      <c r="K32" s="13" t="b">
        <v>0</v>
      </c>
      <c r="L32" s="13" t="b">
        <v>0</v>
      </c>
      <c r="M32" s="13" t="b">
        <v>0</v>
      </c>
      <c r="N32" s="17" t="s">
        <v>225</v>
      </c>
      <c r="O32" s="18" t="s">
        <v>224</v>
      </c>
      <c r="P32" s="17"/>
      <c r="Q32" s="13" t="b">
        <v>1</v>
      </c>
      <c r="R32" s="13" t="b">
        <v>1</v>
      </c>
      <c r="S32" s="13" t="b">
        <v>0</v>
      </c>
      <c r="T32" s="13" t="s">
        <v>733</v>
      </c>
      <c r="U32" s="12" t="s">
        <v>223</v>
      </c>
      <c r="V32" s="15" t="s">
        <v>226</v>
      </c>
      <c r="W32" s="29"/>
      <c r="X32" s="13"/>
      <c r="Y32" s="16" t="s">
        <v>773</v>
      </c>
      <c r="Z32" s="17" t="s">
        <v>63</v>
      </c>
      <c r="AA32" s="13" t="s">
        <v>736</v>
      </c>
      <c r="AB32" s="13" t="s">
        <v>856</v>
      </c>
      <c r="AC32" s="12"/>
      <c r="AD32" s="12"/>
      <c r="AE32" s="13" t="s">
        <v>854</v>
      </c>
      <c r="AF32" s="12"/>
      <c r="AG32" s="12" t="s">
        <v>312</v>
      </c>
      <c r="AH32" s="12" t="s">
        <v>774</v>
      </c>
    </row>
    <row r="33" spans="1:34" ht="39.6" x14ac:dyDescent="0.25">
      <c r="A33" s="12">
        <v>31</v>
      </c>
      <c r="B33" s="12" t="str">
        <f>_xlfn.CONCAT("S", Table1[[#This Row],[No]])</f>
        <v>S31</v>
      </c>
      <c r="C33" s="12" t="s">
        <v>228</v>
      </c>
      <c r="D33" s="13" t="s">
        <v>732</v>
      </c>
      <c r="E33" s="12" t="s">
        <v>227</v>
      </c>
      <c r="F33" s="17" t="s">
        <v>229</v>
      </c>
      <c r="G33" s="13">
        <v>2007</v>
      </c>
      <c r="H33" s="13" t="b">
        <v>1</v>
      </c>
      <c r="I33" s="13" t="b">
        <v>1</v>
      </c>
      <c r="J33" s="13" t="b">
        <v>0</v>
      </c>
      <c r="K33" s="13" t="b">
        <v>0</v>
      </c>
      <c r="L33" s="13" t="b">
        <v>0</v>
      </c>
      <c r="M33" s="13" t="b">
        <v>0</v>
      </c>
      <c r="N33" s="24" t="s">
        <v>231</v>
      </c>
      <c r="O33" s="24"/>
      <c r="P33" s="18" t="s">
        <v>230</v>
      </c>
      <c r="Q33" s="13" t="b">
        <v>1</v>
      </c>
      <c r="R33" s="13" t="b">
        <v>1</v>
      </c>
      <c r="S33" s="13" t="b">
        <v>1</v>
      </c>
      <c r="T33" s="13" t="s">
        <v>775</v>
      </c>
      <c r="U33" s="12"/>
      <c r="V33" s="15" t="s">
        <v>232</v>
      </c>
      <c r="W33" s="29"/>
      <c r="X33" s="13"/>
      <c r="Y33" s="16"/>
      <c r="Z33" s="12" t="s">
        <v>233</v>
      </c>
      <c r="AA33" s="13" t="s">
        <v>731</v>
      </c>
      <c r="AB33" s="13" t="s">
        <v>860</v>
      </c>
      <c r="AC33" s="12" t="s">
        <v>894</v>
      </c>
      <c r="AD33" s="12" t="s">
        <v>943</v>
      </c>
      <c r="AE33" s="13" t="s">
        <v>871</v>
      </c>
      <c r="AF33" s="12"/>
      <c r="AG33" s="12" t="s">
        <v>312</v>
      </c>
      <c r="AH33" s="12" t="s">
        <v>776</v>
      </c>
    </row>
    <row r="34" spans="1:34" ht="52.8" hidden="1" x14ac:dyDescent="0.25">
      <c r="A34" s="12">
        <v>32</v>
      </c>
      <c r="B34" s="12" t="str">
        <f>_xlfn.CONCAT("S", Table1[[#This Row],[No]])</f>
        <v>S32</v>
      </c>
      <c r="C34" s="12" t="s">
        <v>235</v>
      </c>
      <c r="D34" s="13" t="s">
        <v>734</v>
      </c>
      <c r="E34" s="12" t="s">
        <v>234</v>
      </c>
      <c r="F34" s="12" t="s">
        <v>236</v>
      </c>
      <c r="G34" s="13">
        <v>2022</v>
      </c>
      <c r="H34" s="13" t="b">
        <v>0</v>
      </c>
      <c r="I34" s="13" t="b">
        <v>1</v>
      </c>
      <c r="J34" s="13" t="b">
        <v>0</v>
      </c>
      <c r="K34" s="13" t="b">
        <v>0</v>
      </c>
      <c r="L34" s="13" t="b">
        <v>0</v>
      </c>
      <c r="M34" s="13" t="b">
        <v>0</v>
      </c>
      <c r="N34" s="24" t="s">
        <v>237</v>
      </c>
      <c r="O34" s="21" t="s">
        <v>238</v>
      </c>
      <c r="P34" s="17"/>
      <c r="Q34" s="13" t="b">
        <v>1</v>
      </c>
      <c r="R34" s="13" t="b">
        <v>1</v>
      </c>
      <c r="S34" s="13" t="b">
        <v>1</v>
      </c>
      <c r="T34" s="13" t="s">
        <v>733</v>
      </c>
      <c r="U34" s="12" t="s">
        <v>239</v>
      </c>
      <c r="V34" s="15" t="s">
        <v>240</v>
      </c>
      <c r="W34" s="29"/>
      <c r="X34" s="13"/>
      <c r="Y34" s="16"/>
      <c r="Z34" s="17" t="s">
        <v>63</v>
      </c>
      <c r="AA34" s="13" t="s">
        <v>737</v>
      </c>
      <c r="AB34" s="13" t="s">
        <v>759</v>
      </c>
      <c r="AC34" s="12"/>
      <c r="AD34" s="12" t="s">
        <v>947</v>
      </c>
      <c r="AE34" s="13" t="s">
        <v>859</v>
      </c>
      <c r="AF34" s="12"/>
      <c r="AG34" s="12" t="s">
        <v>312</v>
      </c>
      <c r="AH34" s="12" t="s">
        <v>895</v>
      </c>
    </row>
    <row r="35" spans="1:34" ht="66" hidden="1" x14ac:dyDescent="0.25">
      <c r="A35" s="12">
        <v>33</v>
      </c>
      <c r="B35" s="12" t="str">
        <f>_xlfn.CONCAT("S", Table1[[#This Row],[No]])</f>
        <v>S33</v>
      </c>
      <c r="C35" s="12" t="s">
        <v>242</v>
      </c>
      <c r="D35" s="13" t="s">
        <v>734</v>
      </c>
      <c r="E35" s="12" t="s">
        <v>241</v>
      </c>
      <c r="F35" s="12" t="s">
        <v>243</v>
      </c>
      <c r="G35" s="13">
        <v>2015</v>
      </c>
      <c r="H35" s="13" t="b">
        <v>0</v>
      </c>
      <c r="I35" s="13" t="b">
        <v>1</v>
      </c>
      <c r="J35" s="13" t="b">
        <v>0</v>
      </c>
      <c r="K35" s="13" t="b">
        <v>0</v>
      </c>
      <c r="L35" s="13" t="b">
        <v>0</v>
      </c>
      <c r="M35" s="13" t="b">
        <v>0</v>
      </c>
      <c r="N35" s="24" t="s">
        <v>245</v>
      </c>
      <c r="O35" s="2" t="s">
        <v>244</v>
      </c>
      <c r="P35" s="17"/>
      <c r="Q35" s="13" t="b">
        <v>1</v>
      </c>
      <c r="R35" s="13" t="b">
        <v>1</v>
      </c>
      <c r="S35" s="13" t="b">
        <v>1</v>
      </c>
      <c r="T35" s="13" t="s">
        <v>733</v>
      </c>
      <c r="U35" s="12" t="s">
        <v>246</v>
      </c>
      <c r="V35" s="15" t="s">
        <v>247</v>
      </c>
      <c r="W35" s="29">
        <v>2</v>
      </c>
      <c r="X35" s="13"/>
      <c r="Y35" s="16" t="s">
        <v>777</v>
      </c>
      <c r="Z35" s="17" t="s">
        <v>63</v>
      </c>
      <c r="AA35" s="13" t="s">
        <v>731</v>
      </c>
      <c r="AB35" s="13" t="s">
        <v>739</v>
      </c>
      <c r="AC35" s="12"/>
      <c r="AD35" s="12" t="s">
        <v>947</v>
      </c>
      <c r="AE35" s="13" t="s">
        <v>859</v>
      </c>
      <c r="AF35" s="12"/>
      <c r="AG35" s="12" t="s">
        <v>312</v>
      </c>
      <c r="AH35" s="12" t="s">
        <v>896</v>
      </c>
    </row>
    <row r="36" spans="1:34" ht="66" x14ac:dyDescent="0.25">
      <c r="A36" s="12">
        <v>34</v>
      </c>
      <c r="B36" s="12" t="str">
        <f>_xlfn.CONCAT("S", Table1[[#This Row],[No]])</f>
        <v>S34</v>
      </c>
      <c r="C36" s="12" t="s">
        <v>249</v>
      </c>
      <c r="D36" s="13" t="s">
        <v>732</v>
      </c>
      <c r="E36" s="12" t="s">
        <v>248</v>
      </c>
      <c r="F36" s="17" t="s">
        <v>250</v>
      </c>
      <c r="G36" s="13">
        <v>2021</v>
      </c>
      <c r="H36" s="13" t="b">
        <v>1</v>
      </c>
      <c r="I36" s="13" t="b">
        <v>1</v>
      </c>
      <c r="J36" s="13" t="b">
        <v>0</v>
      </c>
      <c r="K36" s="13" t="b">
        <v>0</v>
      </c>
      <c r="L36" s="13" t="b">
        <v>0</v>
      </c>
      <c r="M36" s="13" t="b">
        <v>0</v>
      </c>
      <c r="N36" s="24" t="s">
        <v>253</v>
      </c>
      <c r="O36" s="2" t="s">
        <v>254</v>
      </c>
      <c r="P36" s="17"/>
      <c r="Q36" s="13" t="b">
        <v>1</v>
      </c>
      <c r="R36" s="13" t="b">
        <v>1</v>
      </c>
      <c r="S36" s="13" t="b">
        <v>1</v>
      </c>
      <c r="T36" s="13" t="s">
        <v>778</v>
      </c>
      <c r="U36" s="12" t="s">
        <v>251</v>
      </c>
      <c r="V36" s="15" t="s">
        <v>252</v>
      </c>
      <c r="W36" s="29"/>
      <c r="X36" s="13"/>
      <c r="Y36" s="16"/>
      <c r="Z36" s="17" t="s">
        <v>63</v>
      </c>
      <c r="AA36" s="13" t="s">
        <v>731</v>
      </c>
      <c r="AB36" s="13" t="s">
        <v>739</v>
      </c>
      <c r="AC36" s="12"/>
      <c r="AD36" s="12" t="s">
        <v>943</v>
      </c>
      <c r="AE36" s="13" t="s">
        <v>897</v>
      </c>
      <c r="AF36" s="12"/>
      <c r="AG36" s="12" t="s">
        <v>312</v>
      </c>
      <c r="AH36" s="12" t="s">
        <v>950</v>
      </c>
    </row>
    <row r="37" spans="1:34" ht="66" x14ac:dyDescent="0.25">
      <c r="A37" s="12">
        <v>35</v>
      </c>
      <c r="B37" s="12" t="str">
        <f>_xlfn.CONCAT("S", Table1[[#This Row],[No]])</f>
        <v>S35</v>
      </c>
      <c r="C37" s="12" t="s">
        <v>255</v>
      </c>
      <c r="D37" s="13" t="s">
        <v>732</v>
      </c>
      <c r="E37" s="12" t="s">
        <v>284</v>
      </c>
      <c r="F37" s="12" t="s">
        <v>285</v>
      </c>
      <c r="G37" s="13">
        <v>2021</v>
      </c>
      <c r="H37" s="13" t="b">
        <v>1</v>
      </c>
      <c r="I37" s="13" t="b">
        <v>1</v>
      </c>
      <c r="J37" s="13" t="b">
        <v>0</v>
      </c>
      <c r="K37" s="13" t="b">
        <v>0</v>
      </c>
      <c r="L37" s="13" t="b">
        <v>0</v>
      </c>
      <c r="M37" s="13" t="b">
        <v>0</v>
      </c>
      <c r="N37" s="24" t="s">
        <v>779</v>
      </c>
      <c r="O37" s="2" t="s">
        <v>256</v>
      </c>
      <c r="P37" s="17"/>
      <c r="Q37" s="13" t="b">
        <v>1</v>
      </c>
      <c r="R37" s="13" t="b">
        <v>1</v>
      </c>
      <c r="S37" s="13" t="b">
        <v>1</v>
      </c>
      <c r="T37" s="13" t="s">
        <v>730</v>
      </c>
      <c r="U37" s="12" t="s">
        <v>257</v>
      </c>
      <c r="V37" s="15" t="s">
        <v>258</v>
      </c>
      <c r="W37" s="29">
        <v>61</v>
      </c>
      <c r="X37" s="13"/>
      <c r="Y37" s="16" t="s">
        <v>780</v>
      </c>
      <c r="Z37" s="17" t="s">
        <v>29</v>
      </c>
      <c r="AA37" s="13" t="s">
        <v>736</v>
      </c>
      <c r="AB37" s="13" t="s">
        <v>739</v>
      </c>
      <c r="AC37" s="12" t="s">
        <v>898</v>
      </c>
      <c r="AD37" s="12" t="s">
        <v>943</v>
      </c>
      <c r="AE37" s="13" t="s">
        <v>854</v>
      </c>
      <c r="AF37" s="12"/>
      <c r="AG37" s="12" t="s">
        <v>312</v>
      </c>
      <c r="AH37" s="12" t="s">
        <v>781</v>
      </c>
    </row>
    <row r="38" spans="1:34" ht="92.4" hidden="1" customHeight="1" x14ac:dyDescent="0.25">
      <c r="A38" s="12">
        <v>36</v>
      </c>
      <c r="B38" s="12" t="str">
        <f>_xlfn.CONCAT("S", Table1[[#This Row],[No]])</f>
        <v>S36</v>
      </c>
      <c r="C38" s="12" t="s">
        <v>260</v>
      </c>
      <c r="D38" s="13" t="s">
        <v>734</v>
      </c>
      <c r="E38" s="12" t="s">
        <v>259</v>
      </c>
      <c r="F38" s="12" t="s">
        <v>261</v>
      </c>
      <c r="G38" s="13">
        <v>2021</v>
      </c>
      <c r="H38" s="13" t="b">
        <v>0</v>
      </c>
      <c r="I38" s="13" t="b">
        <v>1</v>
      </c>
      <c r="J38" s="13" t="b">
        <v>0</v>
      </c>
      <c r="K38" s="13" t="b">
        <v>0</v>
      </c>
      <c r="L38" s="13" t="b">
        <v>0</v>
      </c>
      <c r="M38" s="13" t="b">
        <v>0</v>
      </c>
      <c r="N38" s="24" t="s">
        <v>749</v>
      </c>
      <c r="O38" s="1" t="s">
        <v>262</v>
      </c>
      <c r="P38" s="17"/>
      <c r="Q38" s="13" t="b">
        <v>1</v>
      </c>
      <c r="R38" s="13" t="b">
        <v>1</v>
      </c>
      <c r="S38" s="13" t="b">
        <v>0</v>
      </c>
      <c r="T38" s="13" t="s">
        <v>733</v>
      </c>
      <c r="U38" s="12" t="s">
        <v>66</v>
      </c>
      <c r="V38" s="15"/>
      <c r="W38" s="29">
        <v>103</v>
      </c>
      <c r="X38" s="13"/>
      <c r="Y38" s="16" t="s">
        <v>263</v>
      </c>
      <c r="Z38" s="17" t="s">
        <v>29</v>
      </c>
      <c r="AA38" s="13" t="s">
        <v>736</v>
      </c>
      <c r="AB38" s="13" t="s">
        <v>856</v>
      </c>
      <c r="AC38" s="12"/>
      <c r="AD38" s="12"/>
      <c r="AE38" s="13" t="s">
        <v>854</v>
      </c>
      <c r="AF38" s="12"/>
      <c r="AG38" s="12" t="s">
        <v>312</v>
      </c>
      <c r="AH38" s="12" t="s">
        <v>782</v>
      </c>
    </row>
    <row r="39" spans="1:34" ht="153" hidden="1" customHeight="1" x14ac:dyDescent="0.25">
      <c r="A39" s="12">
        <v>37</v>
      </c>
      <c r="B39" s="12" t="str">
        <f>_xlfn.CONCAT("S", Table1[[#This Row],[No]])</f>
        <v>S37</v>
      </c>
      <c r="C39" s="12" t="s">
        <v>265</v>
      </c>
      <c r="D39" s="13" t="s">
        <v>734</v>
      </c>
      <c r="E39" s="12" t="s">
        <v>264</v>
      </c>
      <c r="F39" s="12" t="s">
        <v>266</v>
      </c>
      <c r="G39" s="13">
        <v>2026</v>
      </c>
      <c r="H39" s="13" t="b">
        <v>0</v>
      </c>
      <c r="I39" s="13" t="b">
        <v>1</v>
      </c>
      <c r="J39" s="13" t="b">
        <v>0</v>
      </c>
      <c r="K39" s="13" t="b">
        <v>0</v>
      </c>
      <c r="L39" s="13" t="b">
        <v>0</v>
      </c>
      <c r="M39" s="13" t="b">
        <v>0</v>
      </c>
      <c r="N39" s="24" t="s">
        <v>783</v>
      </c>
      <c r="O39" s="2" t="s">
        <v>267</v>
      </c>
      <c r="P39" s="17"/>
      <c r="Q39" s="13" t="b">
        <v>1</v>
      </c>
      <c r="R39" s="13" t="b">
        <v>1</v>
      </c>
      <c r="S39" s="13" t="b">
        <v>1</v>
      </c>
      <c r="T39" s="13" t="s">
        <v>730</v>
      </c>
      <c r="U39" s="12" t="s">
        <v>257</v>
      </c>
      <c r="V39" s="15" t="s">
        <v>268</v>
      </c>
      <c r="W39" s="29">
        <v>85</v>
      </c>
      <c r="X39" s="13"/>
      <c r="Y39" s="16" t="s">
        <v>269</v>
      </c>
      <c r="Z39" s="17" t="s">
        <v>29</v>
      </c>
      <c r="AA39" s="13" t="s">
        <v>737</v>
      </c>
      <c r="AB39" s="13" t="s">
        <v>739</v>
      </c>
      <c r="AC39" s="12"/>
      <c r="AD39" s="12" t="s">
        <v>947</v>
      </c>
      <c r="AE39" s="13" t="s">
        <v>854</v>
      </c>
      <c r="AF39" s="12"/>
      <c r="AG39" s="12" t="s">
        <v>312</v>
      </c>
      <c r="AH39" s="12" t="s">
        <v>951</v>
      </c>
    </row>
    <row r="40" spans="1:34" ht="39.6" x14ac:dyDescent="0.25">
      <c r="A40" s="12">
        <v>38</v>
      </c>
      <c r="B40" s="12" t="str">
        <f>_xlfn.CONCAT("S", Table1[[#This Row],[No]])</f>
        <v>S38</v>
      </c>
      <c r="C40" s="12" t="s">
        <v>271</v>
      </c>
      <c r="D40" s="13" t="s">
        <v>732</v>
      </c>
      <c r="E40" s="12" t="s">
        <v>270</v>
      </c>
      <c r="F40" s="12" t="s">
        <v>276</v>
      </c>
      <c r="G40" s="13">
        <v>2018</v>
      </c>
      <c r="H40" s="13" t="b">
        <v>1</v>
      </c>
      <c r="I40" s="13" t="b">
        <v>1</v>
      </c>
      <c r="J40" s="13" t="b">
        <v>0</v>
      </c>
      <c r="K40" s="13" t="b">
        <v>0</v>
      </c>
      <c r="L40" s="13" t="b">
        <v>0</v>
      </c>
      <c r="M40" s="13" t="b">
        <v>0</v>
      </c>
      <c r="N40" s="24" t="s">
        <v>275</v>
      </c>
      <c r="O40" s="2" t="s">
        <v>273</v>
      </c>
      <c r="P40" s="17"/>
      <c r="Q40" s="13" t="b">
        <v>1</v>
      </c>
      <c r="R40" s="13" t="b">
        <v>1</v>
      </c>
      <c r="S40" s="13" t="b">
        <v>1</v>
      </c>
      <c r="T40" s="13" t="s">
        <v>766</v>
      </c>
      <c r="U40" s="12" t="s">
        <v>272</v>
      </c>
      <c r="V40" s="15" t="s">
        <v>274</v>
      </c>
      <c r="W40" s="29"/>
      <c r="X40" s="13"/>
      <c r="Y40" s="16" t="s">
        <v>784</v>
      </c>
      <c r="Z40" s="17" t="s">
        <v>63</v>
      </c>
      <c r="AA40" s="13" t="s">
        <v>737</v>
      </c>
      <c r="AB40" s="13" t="s">
        <v>860</v>
      </c>
      <c r="AC40" s="12" t="s">
        <v>855</v>
      </c>
      <c r="AD40" s="12" t="s">
        <v>943</v>
      </c>
      <c r="AE40" s="13" t="s">
        <v>857</v>
      </c>
      <c r="AF40" s="12"/>
      <c r="AG40" s="12" t="s">
        <v>312</v>
      </c>
      <c r="AH40" s="12" t="s">
        <v>964</v>
      </c>
    </row>
    <row r="41" spans="1:34" ht="52.8" hidden="1" customHeight="1" x14ac:dyDescent="0.25">
      <c r="A41" s="12">
        <v>39</v>
      </c>
      <c r="B41" s="12" t="str">
        <f>_xlfn.CONCAT("S", Table1[[#This Row],[No]])</f>
        <v>S39</v>
      </c>
      <c r="C41" s="12" t="s">
        <v>288</v>
      </c>
      <c r="D41" s="13" t="s">
        <v>734</v>
      </c>
      <c r="E41" s="12" t="s">
        <v>287</v>
      </c>
      <c r="F41" s="12" t="s">
        <v>289</v>
      </c>
      <c r="G41" s="13">
        <v>2019</v>
      </c>
      <c r="H41" s="13" t="b">
        <v>0</v>
      </c>
      <c r="I41" s="13" t="b">
        <v>1</v>
      </c>
      <c r="J41" s="13" t="b">
        <v>0</v>
      </c>
      <c r="K41" s="13" t="b">
        <v>0</v>
      </c>
      <c r="L41" s="13" t="b">
        <v>0</v>
      </c>
      <c r="M41" s="13" t="b">
        <v>0</v>
      </c>
      <c r="N41" s="24" t="s">
        <v>290</v>
      </c>
      <c r="O41" s="2" t="s">
        <v>292</v>
      </c>
      <c r="P41" s="17"/>
      <c r="Q41" s="13" t="b">
        <v>1</v>
      </c>
      <c r="R41" s="13" t="b">
        <v>1</v>
      </c>
      <c r="S41" s="13" t="b">
        <v>0</v>
      </c>
      <c r="T41" s="13" t="s">
        <v>733</v>
      </c>
      <c r="U41" s="12" t="s">
        <v>291</v>
      </c>
      <c r="V41" s="15" t="s">
        <v>293</v>
      </c>
      <c r="W41" s="29">
        <v>37</v>
      </c>
      <c r="X41" s="13"/>
      <c r="Y41" s="16" t="s">
        <v>294</v>
      </c>
      <c r="Z41" s="17" t="s">
        <v>78</v>
      </c>
      <c r="AA41" s="13" t="s">
        <v>731</v>
      </c>
      <c r="AB41" s="13" t="s">
        <v>856</v>
      </c>
      <c r="AC41" s="12"/>
      <c r="AD41" s="12"/>
      <c r="AE41" s="13" t="s">
        <v>859</v>
      </c>
      <c r="AF41" s="12"/>
      <c r="AG41" s="12" t="s">
        <v>312</v>
      </c>
      <c r="AH41" s="12" t="s">
        <v>786</v>
      </c>
    </row>
    <row r="42" spans="1:34" ht="52.8" hidden="1" customHeight="1" x14ac:dyDescent="0.25">
      <c r="A42" s="12">
        <v>40</v>
      </c>
      <c r="B42" s="12" t="str">
        <f>_xlfn.CONCAT("S", Table1[[#This Row],[No]])</f>
        <v>S40</v>
      </c>
      <c r="C42" s="12" t="s">
        <v>295</v>
      </c>
      <c r="D42" s="13" t="s">
        <v>734</v>
      </c>
      <c r="E42" s="12" t="s">
        <v>298</v>
      </c>
      <c r="F42" s="12" t="s">
        <v>296</v>
      </c>
      <c r="G42" s="13">
        <v>2019</v>
      </c>
      <c r="H42" s="13" t="b">
        <v>0</v>
      </c>
      <c r="I42" s="13" t="b">
        <v>1</v>
      </c>
      <c r="J42" s="13" t="b">
        <v>0</v>
      </c>
      <c r="K42" s="13" t="b">
        <v>0</v>
      </c>
      <c r="L42" s="13" t="b">
        <v>0</v>
      </c>
      <c r="M42" s="13" t="b">
        <v>0</v>
      </c>
      <c r="N42" s="24"/>
      <c r="O42" s="2" t="s">
        <v>299</v>
      </c>
      <c r="P42" s="17"/>
      <c r="Q42" s="13" t="b">
        <v>1</v>
      </c>
      <c r="R42" s="13" t="b">
        <v>1</v>
      </c>
      <c r="S42" s="13" t="b">
        <v>0</v>
      </c>
      <c r="T42" s="13" t="s">
        <v>733</v>
      </c>
      <c r="U42" s="12" t="s">
        <v>297</v>
      </c>
      <c r="V42" s="15" t="s">
        <v>293</v>
      </c>
      <c r="W42" s="29">
        <v>64</v>
      </c>
      <c r="X42" s="13"/>
      <c r="Y42" s="16" t="s">
        <v>218</v>
      </c>
      <c r="Z42" s="17" t="s">
        <v>78</v>
      </c>
      <c r="AA42" s="13" t="s">
        <v>735</v>
      </c>
      <c r="AB42" s="13" t="s">
        <v>856</v>
      </c>
      <c r="AC42" s="12"/>
      <c r="AD42" s="12"/>
      <c r="AE42" s="13" t="s">
        <v>760</v>
      </c>
      <c r="AF42" s="12" t="s">
        <v>899</v>
      </c>
      <c r="AG42" s="12" t="s">
        <v>312</v>
      </c>
      <c r="AH42" s="12" t="s">
        <v>787</v>
      </c>
    </row>
    <row r="43" spans="1:34" ht="52.8" x14ac:dyDescent="0.25">
      <c r="A43" s="12">
        <v>41</v>
      </c>
      <c r="B43" s="12" t="str">
        <f>_xlfn.CONCAT("S", Table1[[#This Row],[No]])</f>
        <v>S41</v>
      </c>
      <c r="C43" s="12" t="s">
        <v>300</v>
      </c>
      <c r="D43" s="13" t="s">
        <v>732</v>
      </c>
      <c r="E43" s="12" t="s">
        <v>306</v>
      </c>
      <c r="F43" s="17" t="s">
        <v>301</v>
      </c>
      <c r="G43" s="13">
        <v>2011</v>
      </c>
      <c r="H43" s="13" t="b">
        <v>1</v>
      </c>
      <c r="I43" s="13" t="b">
        <v>1</v>
      </c>
      <c r="J43" s="13" t="b">
        <v>0</v>
      </c>
      <c r="K43" s="13" t="b">
        <v>0</v>
      </c>
      <c r="L43" s="13" t="b">
        <v>0</v>
      </c>
      <c r="M43" s="13" t="b">
        <v>0</v>
      </c>
      <c r="N43" s="24" t="s">
        <v>305</v>
      </c>
      <c r="O43" s="2" t="s">
        <v>304</v>
      </c>
      <c r="P43" s="17"/>
      <c r="Q43" s="13" t="b">
        <v>1</v>
      </c>
      <c r="R43" s="13" t="b">
        <v>1</v>
      </c>
      <c r="S43" s="13" t="b">
        <v>1</v>
      </c>
      <c r="T43" s="13" t="s">
        <v>733</v>
      </c>
      <c r="U43" s="12" t="s">
        <v>302</v>
      </c>
      <c r="V43" s="15" t="s">
        <v>33</v>
      </c>
      <c r="W43" s="29">
        <v>10</v>
      </c>
      <c r="X43" s="13"/>
      <c r="Y43" s="16" t="s">
        <v>303</v>
      </c>
      <c r="Z43" s="17" t="s">
        <v>78</v>
      </c>
      <c r="AA43" s="13" t="s">
        <v>737</v>
      </c>
      <c r="AB43" s="13" t="s">
        <v>739</v>
      </c>
      <c r="AC43" s="12" t="s">
        <v>900</v>
      </c>
      <c r="AD43" s="12" t="s">
        <v>943</v>
      </c>
      <c r="AE43" s="13" t="s">
        <v>871</v>
      </c>
      <c r="AF43" s="12"/>
      <c r="AG43" s="12" t="s">
        <v>312</v>
      </c>
      <c r="AH43" s="12" t="s">
        <v>788</v>
      </c>
    </row>
    <row r="44" spans="1:34" ht="39.6" x14ac:dyDescent="0.25">
      <c r="A44" s="12">
        <v>42</v>
      </c>
      <c r="B44" s="12" t="str">
        <f>_xlfn.CONCAT("S", Table1[[#This Row],[No]])</f>
        <v>S42</v>
      </c>
      <c r="C44" s="12" t="s">
        <v>308</v>
      </c>
      <c r="D44" s="13" t="s">
        <v>732</v>
      </c>
      <c r="E44" s="12" t="s">
        <v>309</v>
      </c>
      <c r="F44" s="12" t="s">
        <v>310</v>
      </c>
      <c r="G44" s="13">
        <v>2012</v>
      </c>
      <c r="H44" s="13" t="b">
        <v>1</v>
      </c>
      <c r="I44" s="13" t="b">
        <v>1</v>
      </c>
      <c r="J44" s="13" t="b">
        <v>0</v>
      </c>
      <c r="K44" s="13" t="b">
        <v>0</v>
      </c>
      <c r="L44" s="13" t="b">
        <v>0</v>
      </c>
      <c r="M44" s="13" t="b">
        <v>0</v>
      </c>
      <c r="N44" s="17" t="s">
        <v>769</v>
      </c>
      <c r="O44" s="1" t="s">
        <v>314</v>
      </c>
      <c r="P44" s="17"/>
      <c r="Q44" s="13" t="b">
        <v>1</v>
      </c>
      <c r="R44" s="13" t="b">
        <v>1</v>
      </c>
      <c r="S44" s="13" t="b">
        <v>1</v>
      </c>
      <c r="T44" s="13" t="s">
        <v>730</v>
      </c>
      <c r="U44" s="12" t="s">
        <v>210</v>
      </c>
      <c r="V44" s="15" t="s">
        <v>313</v>
      </c>
      <c r="W44" s="29">
        <v>54</v>
      </c>
      <c r="X44" s="13">
        <v>4</v>
      </c>
      <c r="Y44" s="16" t="s">
        <v>311</v>
      </c>
      <c r="Z44" s="17" t="s">
        <v>29</v>
      </c>
      <c r="AA44" s="13" t="s">
        <v>736</v>
      </c>
      <c r="AB44" s="13" t="s">
        <v>739</v>
      </c>
      <c r="AC44" s="12" t="s">
        <v>893</v>
      </c>
      <c r="AD44" s="12" t="s">
        <v>943</v>
      </c>
      <c r="AE44" s="13" t="s">
        <v>871</v>
      </c>
      <c r="AF44" s="12"/>
      <c r="AG44" s="12" t="s">
        <v>312</v>
      </c>
      <c r="AH44" s="12" t="s">
        <v>797</v>
      </c>
    </row>
    <row r="45" spans="1:34" ht="52.8" hidden="1" customHeight="1" x14ac:dyDescent="0.25">
      <c r="A45" s="12">
        <v>43</v>
      </c>
      <c r="B45" s="12" t="str">
        <f>_xlfn.CONCAT("S", Table1[[#This Row],[No]])</f>
        <v>S43</v>
      </c>
      <c r="C45" s="12" t="s">
        <v>316</v>
      </c>
      <c r="D45" s="13" t="s">
        <v>734</v>
      </c>
      <c r="E45" s="12" t="s">
        <v>318</v>
      </c>
      <c r="F45" s="17" t="s">
        <v>317</v>
      </c>
      <c r="G45" s="13">
        <v>2015</v>
      </c>
      <c r="H45" s="13" t="b">
        <v>0</v>
      </c>
      <c r="I45" s="13" t="b">
        <v>1</v>
      </c>
      <c r="J45" s="13" t="b">
        <v>0</v>
      </c>
      <c r="K45" s="13" t="b">
        <v>0</v>
      </c>
      <c r="L45" s="13" t="b">
        <v>0</v>
      </c>
      <c r="M45" s="13" t="b">
        <v>0</v>
      </c>
      <c r="N45" s="17" t="s">
        <v>789</v>
      </c>
      <c r="O45" s="1" t="s">
        <v>322</v>
      </c>
      <c r="P45" s="17"/>
      <c r="Q45" s="13" t="b">
        <v>1</v>
      </c>
      <c r="R45" s="13" t="b">
        <v>1</v>
      </c>
      <c r="S45" s="13" t="b">
        <v>0</v>
      </c>
      <c r="T45" s="13" t="s">
        <v>730</v>
      </c>
      <c r="U45" s="12" t="s">
        <v>319</v>
      </c>
      <c r="V45" s="15" t="s">
        <v>321</v>
      </c>
      <c r="W45" s="29">
        <v>2</v>
      </c>
      <c r="X45" s="13">
        <v>4</v>
      </c>
      <c r="Y45" s="16" t="s">
        <v>320</v>
      </c>
      <c r="Z45" s="17" t="s">
        <v>29</v>
      </c>
      <c r="AA45" s="13" t="s">
        <v>744</v>
      </c>
      <c r="AB45" s="13" t="s">
        <v>856</v>
      </c>
      <c r="AC45" s="12"/>
      <c r="AD45" s="12"/>
      <c r="AE45" s="13" t="s">
        <v>888</v>
      </c>
      <c r="AF45" s="12"/>
      <c r="AG45" s="12" t="s">
        <v>312</v>
      </c>
      <c r="AH45" s="12" t="s">
        <v>790</v>
      </c>
    </row>
    <row r="46" spans="1:34" ht="66" hidden="1" customHeight="1" x14ac:dyDescent="0.25">
      <c r="A46" s="12">
        <v>44</v>
      </c>
      <c r="B46" s="12" t="str">
        <f>_xlfn.CONCAT("S", Table1[[#This Row],[No]])</f>
        <v>S44</v>
      </c>
      <c r="C46" s="12" t="s">
        <v>323</v>
      </c>
      <c r="D46" s="13" t="s">
        <v>734</v>
      </c>
      <c r="E46" s="12" t="s">
        <v>352</v>
      </c>
      <c r="F46" s="12" t="s">
        <v>324</v>
      </c>
      <c r="G46" s="13">
        <v>2005</v>
      </c>
      <c r="H46" s="13" t="b">
        <v>0</v>
      </c>
      <c r="I46" s="13" t="b">
        <v>1</v>
      </c>
      <c r="J46" s="13" t="b">
        <v>0</v>
      </c>
      <c r="K46" s="13" t="b">
        <v>0</v>
      </c>
      <c r="L46" s="13" t="b">
        <v>0</v>
      </c>
      <c r="M46" s="13" t="b">
        <v>0</v>
      </c>
      <c r="N46" s="17"/>
      <c r="O46" s="17"/>
      <c r="P46" s="17"/>
      <c r="Q46" s="13" t="b">
        <v>1</v>
      </c>
      <c r="R46" s="13" t="b">
        <v>1</v>
      </c>
      <c r="S46" s="13" t="b">
        <v>0</v>
      </c>
      <c r="T46" s="13" t="s">
        <v>730</v>
      </c>
      <c r="U46" s="12" t="s">
        <v>325</v>
      </c>
      <c r="V46" s="15" t="s">
        <v>326</v>
      </c>
      <c r="W46" s="29"/>
      <c r="X46" s="13">
        <v>6447</v>
      </c>
      <c r="Y46" s="16"/>
      <c r="Z46" s="17" t="s">
        <v>327</v>
      </c>
      <c r="AA46" s="13" t="s">
        <v>791</v>
      </c>
      <c r="AB46" s="13" t="s">
        <v>856</v>
      </c>
      <c r="AC46" s="12"/>
      <c r="AD46" s="12"/>
      <c r="AE46" s="13" t="s">
        <v>760</v>
      </c>
      <c r="AF46" s="12" t="s">
        <v>901</v>
      </c>
      <c r="AG46" s="12" t="s">
        <v>312</v>
      </c>
      <c r="AH46" s="12" t="s">
        <v>792</v>
      </c>
    </row>
    <row r="47" spans="1:34" ht="66" x14ac:dyDescent="0.25">
      <c r="A47" s="12">
        <v>45</v>
      </c>
      <c r="B47" s="12" t="str">
        <f>_xlfn.CONCAT("S", Table1[[#This Row],[No]])</f>
        <v>S45</v>
      </c>
      <c r="C47" s="12" t="s">
        <v>329</v>
      </c>
      <c r="D47" s="13" t="s">
        <v>732</v>
      </c>
      <c r="E47" s="12" t="s">
        <v>328</v>
      </c>
      <c r="F47" s="12" t="s">
        <v>330</v>
      </c>
      <c r="G47" s="13">
        <v>2006</v>
      </c>
      <c r="H47" s="13" t="b">
        <v>1</v>
      </c>
      <c r="I47" s="13" t="b">
        <v>1</v>
      </c>
      <c r="J47" s="13" t="b">
        <v>0</v>
      </c>
      <c r="K47" s="13" t="b">
        <v>0</v>
      </c>
      <c r="L47" s="13" t="b">
        <v>0</v>
      </c>
      <c r="M47" s="13" t="b">
        <v>0</v>
      </c>
      <c r="N47" s="17" t="s">
        <v>334</v>
      </c>
      <c r="O47" s="1" t="s">
        <v>333</v>
      </c>
      <c r="P47" s="17"/>
      <c r="Q47" s="13" t="b">
        <v>1</v>
      </c>
      <c r="R47" s="13" t="b">
        <v>1</v>
      </c>
      <c r="S47" s="13" t="b">
        <v>1</v>
      </c>
      <c r="T47" s="13" t="s">
        <v>743</v>
      </c>
      <c r="U47" s="12" t="s">
        <v>332</v>
      </c>
      <c r="V47" s="15"/>
      <c r="W47" s="29"/>
      <c r="X47" s="13"/>
      <c r="Y47" s="16" t="s">
        <v>331</v>
      </c>
      <c r="Z47" s="17" t="s">
        <v>59</v>
      </c>
      <c r="AA47" s="13" t="s">
        <v>735</v>
      </c>
      <c r="AB47" s="13" t="s">
        <v>739</v>
      </c>
      <c r="AC47" s="12" t="s">
        <v>902</v>
      </c>
      <c r="AD47" s="12" t="s">
        <v>943</v>
      </c>
      <c r="AE47" s="13" t="s">
        <v>760</v>
      </c>
      <c r="AF47" s="12" t="s">
        <v>890</v>
      </c>
      <c r="AG47" s="12" t="s">
        <v>312</v>
      </c>
      <c r="AH47" s="12" t="s">
        <v>903</v>
      </c>
    </row>
    <row r="48" spans="1:34" ht="52.8" hidden="1" customHeight="1" x14ac:dyDescent="0.25">
      <c r="A48" s="12">
        <v>46</v>
      </c>
      <c r="B48" s="12" t="str">
        <f>_xlfn.CONCAT("S", Table1[[#This Row],[No]])</f>
        <v>S46</v>
      </c>
      <c r="C48" s="12" t="s">
        <v>336</v>
      </c>
      <c r="D48" s="13" t="s">
        <v>734</v>
      </c>
      <c r="E48" s="12" t="s">
        <v>335</v>
      </c>
      <c r="F48" s="12" t="s">
        <v>337</v>
      </c>
      <c r="G48" s="13">
        <v>2006</v>
      </c>
      <c r="H48" s="13" t="b">
        <v>0</v>
      </c>
      <c r="I48" s="13" t="b">
        <v>1</v>
      </c>
      <c r="J48" s="13" t="b">
        <v>0</v>
      </c>
      <c r="K48" s="13" t="b">
        <v>0</v>
      </c>
      <c r="L48" s="13" t="b">
        <v>0</v>
      </c>
      <c r="M48" s="13" t="b">
        <v>0</v>
      </c>
      <c r="N48" s="17"/>
      <c r="O48" s="1" t="s">
        <v>338</v>
      </c>
      <c r="P48" s="17"/>
      <c r="Q48" s="13" t="b">
        <v>1</v>
      </c>
      <c r="R48" s="13" t="b">
        <v>1</v>
      </c>
      <c r="S48" s="13" t="b">
        <v>0</v>
      </c>
      <c r="T48" s="13" t="s">
        <v>730</v>
      </c>
      <c r="U48" s="12" t="s">
        <v>340</v>
      </c>
      <c r="V48" s="15" t="s">
        <v>342</v>
      </c>
      <c r="W48" s="29">
        <v>12</v>
      </c>
      <c r="X48" s="13">
        <v>1</v>
      </c>
      <c r="Y48" s="16" t="s">
        <v>341</v>
      </c>
      <c r="Z48" s="12" t="s">
        <v>339</v>
      </c>
      <c r="AA48" s="13" t="s">
        <v>731</v>
      </c>
      <c r="AB48" s="13" t="s">
        <v>856</v>
      </c>
      <c r="AC48" s="12"/>
      <c r="AD48" s="12"/>
      <c r="AE48" s="13" t="s">
        <v>760</v>
      </c>
      <c r="AF48" s="12" t="s">
        <v>794</v>
      </c>
      <c r="AG48" s="12" t="s">
        <v>312</v>
      </c>
      <c r="AH48" s="12" t="s">
        <v>793</v>
      </c>
    </row>
    <row r="49" spans="1:34" ht="39.6" hidden="1" customHeight="1" x14ac:dyDescent="0.25">
      <c r="A49" s="12">
        <v>47</v>
      </c>
      <c r="B49" s="12" t="str">
        <f>_xlfn.CONCAT("S", Table1[[#This Row],[No]])</f>
        <v>S47</v>
      </c>
      <c r="C49" s="12" t="s">
        <v>345</v>
      </c>
      <c r="D49" s="13" t="s">
        <v>734</v>
      </c>
      <c r="E49" s="12" t="s">
        <v>344</v>
      </c>
      <c r="F49" s="12" t="s">
        <v>346</v>
      </c>
      <c r="G49" s="13">
        <v>2005</v>
      </c>
      <c r="H49" s="13" t="b">
        <v>0</v>
      </c>
      <c r="I49" s="13" t="b">
        <v>1</v>
      </c>
      <c r="J49" s="13" t="b">
        <v>0</v>
      </c>
      <c r="K49" s="13" t="b">
        <v>0</v>
      </c>
      <c r="L49" s="13" t="b">
        <v>0</v>
      </c>
      <c r="M49" s="13" t="b">
        <v>0</v>
      </c>
      <c r="N49" s="17" t="s">
        <v>347</v>
      </c>
      <c r="O49" s="1" t="s">
        <v>348</v>
      </c>
      <c r="P49" s="17"/>
      <c r="Q49" s="13" t="b">
        <v>1</v>
      </c>
      <c r="R49" s="13" t="b">
        <v>1</v>
      </c>
      <c r="S49" s="13" t="b">
        <v>0</v>
      </c>
      <c r="T49" s="13" t="s">
        <v>730</v>
      </c>
      <c r="U49" s="12" t="s">
        <v>350</v>
      </c>
      <c r="V49" s="15" t="s">
        <v>349</v>
      </c>
      <c r="W49" s="29"/>
      <c r="X49" s="13"/>
      <c r="Y49" s="16" t="s">
        <v>351</v>
      </c>
      <c r="Z49" s="12" t="s">
        <v>63</v>
      </c>
      <c r="AA49" s="13" t="s">
        <v>731</v>
      </c>
      <c r="AB49" s="13" t="s">
        <v>856</v>
      </c>
      <c r="AC49" s="12"/>
      <c r="AD49" s="12"/>
      <c r="AE49" s="13" t="s">
        <v>760</v>
      </c>
      <c r="AF49" s="12" t="s">
        <v>795</v>
      </c>
      <c r="AG49" s="12" t="s">
        <v>312</v>
      </c>
      <c r="AH49" s="12" t="s">
        <v>904</v>
      </c>
    </row>
    <row r="50" spans="1:34" ht="66" hidden="1" customHeight="1" x14ac:dyDescent="0.25">
      <c r="A50" s="12">
        <v>48</v>
      </c>
      <c r="B50" s="12" t="str">
        <f>_xlfn.CONCAT("S", Table1[[#This Row],[No]])</f>
        <v>S48</v>
      </c>
      <c r="C50" s="12" t="s">
        <v>354</v>
      </c>
      <c r="D50" s="13" t="s">
        <v>734</v>
      </c>
      <c r="E50" s="12" t="s">
        <v>353</v>
      </c>
      <c r="F50" s="12" t="s">
        <v>310</v>
      </c>
      <c r="G50" s="13">
        <v>2009</v>
      </c>
      <c r="H50" s="13" t="b">
        <v>1</v>
      </c>
      <c r="I50" s="13" t="b">
        <v>1</v>
      </c>
      <c r="J50" s="13" t="b">
        <v>0</v>
      </c>
      <c r="K50" s="13" t="b">
        <v>0</v>
      </c>
      <c r="L50" s="13" t="b">
        <v>1</v>
      </c>
      <c r="M50" s="13" t="b">
        <v>0</v>
      </c>
      <c r="N50" s="17" t="s">
        <v>804</v>
      </c>
      <c r="O50" s="1" t="s">
        <v>357</v>
      </c>
      <c r="P50" s="17"/>
      <c r="Q50" s="13" t="b">
        <v>1</v>
      </c>
      <c r="R50" s="13" t="b">
        <v>1</v>
      </c>
      <c r="S50" s="13" t="b">
        <v>0</v>
      </c>
      <c r="T50" s="13" t="s">
        <v>733</v>
      </c>
      <c r="U50" s="12" t="s">
        <v>355</v>
      </c>
      <c r="V50" s="15" t="s">
        <v>356</v>
      </c>
      <c r="W50" s="29"/>
      <c r="X50" s="13"/>
      <c r="Y50" s="16" t="s">
        <v>358</v>
      </c>
      <c r="Z50" s="17" t="s">
        <v>63</v>
      </c>
      <c r="AA50" s="13" t="s">
        <v>736</v>
      </c>
      <c r="AB50" s="13" t="s">
        <v>739</v>
      </c>
      <c r="AC50" s="12" t="s">
        <v>893</v>
      </c>
      <c r="AD50" s="12"/>
      <c r="AE50" s="13" t="s">
        <v>871</v>
      </c>
      <c r="AF50" s="12"/>
      <c r="AG50" s="12" t="s">
        <v>312</v>
      </c>
      <c r="AH50" s="12" t="s">
        <v>796</v>
      </c>
    </row>
    <row r="51" spans="1:34" ht="39.6" x14ac:dyDescent="0.25">
      <c r="A51" s="12">
        <v>49</v>
      </c>
      <c r="B51" s="12" t="str">
        <f>_xlfn.CONCAT("S", Table1[[#This Row],[No]])</f>
        <v>S49</v>
      </c>
      <c r="C51" s="12" t="s">
        <v>728</v>
      </c>
      <c r="D51" s="13" t="s">
        <v>732</v>
      </c>
      <c r="E51" s="12" t="s">
        <v>359</v>
      </c>
      <c r="F51" s="12" t="s">
        <v>360</v>
      </c>
      <c r="G51" s="13">
        <v>2013</v>
      </c>
      <c r="H51" s="13" t="b">
        <v>1</v>
      </c>
      <c r="I51" s="13" t="b">
        <v>1</v>
      </c>
      <c r="J51" s="13" t="b">
        <v>0</v>
      </c>
      <c r="K51" s="13" t="b">
        <v>0</v>
      </c>
      <c r="L51" s="13" t="b">
        <v>0</v>
      </c>
      <c r="M51" s="13" t="b">
        <v>0</v>
      </c>
      <c r="N51" s="17" t="s">
        <v>803</v>
      </c>
      <c r="O51" s="17"/>
      <c r="P51" s="1" t="s">
        <v>361</v>
      </c>
      <c r="Q51" s="13" t="b">
        <v>1</v>
      </c>
      <c r="R51" s="13" t="b">
        <v>1</v>
      </c>
      <c r="S51" s="13" t="b">
        <v>1</v>
      </c>
      <c r="T51" s="13" t="s">
        <v>743</v>
      </c>
      <c r="U51" s="12"/>
      <c r="V51" s="15"/>
      <c r="W51" s="29"/>
      <c r="X51" s="13"/>
      <c r="Y51" s="16"/>
      <c r="Z51" s="12" t="s">
        <v>362</v>
      </c>
      <c r="AA51" s="13" t="s">
        <v>731</v>
      </c>
      <c r="AB51" s="13" t="s">
        <v>785</v>
      </c>
      <c r="AC51" s="12"/>
      <c r="AD51" s="12" t="s">
        <v>943</v>
      </c>
      <c r="AE51" s="13" t="s">
        <v>871</v>
      </c>
      <c r="AF51" s="12"/>
      <c r="AG51" s="12" t="s">
        <v>312</v>
      </c>
      <c r="AH51" s="12" t="s">
        <v>798</v>
      </c>
    </row>
    <row r="52" spans="1:34" ht="52.8" x14ac:dyDescent="0.25">
      <c r="A52" s="12">
        <v>50</v>
      </c>
      <c r="B52" s="12" t="str">
        <f>_xlfn.CONCAT("S", Table1[[#This Row],[No]])</f>
        <v>S50</v>
      </c>
      <c r="C52" s="12" t="s">
        <v>364</v>
      </c>
      <c r="D52" s="13" t="s">
        <v>732</v>
      </c>
      <c r="E52" s="12" t="s">
        <v>363</v>
      </c>
      <c r="F52" s="12" t="s">
        <v>365</v>
      </c>
      <c r="G52" s="13">
        <v>2008</v>
      </c>
      <c r="H52" s="13" t="b">
        <v>1</v>
      </c>
      <c r="I52" s="13" t="b">
        <v>1</v>
      </c>
      <c r="J52" s="13" t="b">
        <v>0</v>
      </c>
      <c r="K52" s="13" t="b">
        <v>0</v>
      </c>
      <c r="L52" s="13" t="b">
        <v>0</v>
      </c>
      <c r="M52" s="13" t="b">
        <v>0</v>
      </c>
      <c r="N52" s="17" t="s">
        <v>368</v>
      </c>
      <c r="O52" s="1" t="s">
        <v>367</v>
      </c>
      <c r="P52" s="17"/>
      <c r="Q52" s="13" t="b">
        <v>1</v>
      </c>
      <c r="R52" s="13" t="b">
        <v>1</v>
      </c>
      <c r="S52" s="13" t="b">
        <v>1</v>
      </c>
      <c r="T52" s="13" t="s">
        <v>730</v>
      </c>
      <c r="U52" s="12" t="s">
        <v>147</v>
      </c>
      <c r="V52" s="15"/>
      <c r="W52" s="29">
        <v>5290</v>
      </c>
      <c r="X52" s="13"/>
      <c r="Y52" s="16" t="s">
        <v>366</v>
      </c>
      <c r="Z52" s="17" t="s">
        <v>59</v>
      </c>
      <c r="AA52" s="13" t="s">
        <v>731</v>
      </c>
      <c r="AB52" s="13" t="s">
        <v>767</v>
      </c>
      <c r="AC52" s="12" t="s">
        <v>905</v>
      </c>
      <c r="AD52" s="12" t="s">
        <v>943</v>
      </c>
      <c r="AE52" s="13" t="s">
        <v>871</v>
      </c>
      <c r="AF52" s="12"/>
      <c r="AG52" s="12" t="s">
        <v>312</v>
      </c>
      <c r="AH52" s="12" t="s">
        <v>906</v>
      </c>
    </row>
    <row r="53" spans="1:34" ht="66" hidden="1" customHeight="1" x14ac:dyDescent="0.25">
      <c r="A53" s="12">
        <v>51</v>
      </c>
      <c r="B53" s="12" t="str">
        <f>_xlfn.CONCAT("S", Table1[[#This Row],[No]])</f>
        <v>S51</v>
      </c>
      <c r="C53" s="12" t="s">
        <v>370</v>
      </c>
      <c r="D53" s="13" t="s">
        <v>734</v>
      </c>
      <c r="E53" s="12" t="s">
        <v>369</v>
      </c>
      <c r="F53" s="12" t="s">
        <v>371</v>
      </c>
      <c r="G53" s="13">
        <v>2017</v>
      </c>
      <c r="H53" s="13" t="b">
        <v>0</v>
      </c>
      <c r="I53" s="13" t="b">
        <v>1</v>
      </c>
      <c r="J53" s="13" t="b">
        <v>0</v>
      </c>
      <c r="K53" s="13" t="b">
        <v>0</v>
      </c>
      <c r="L53" s="13" t="b">
        <v>0</v>
      </c>
      <c r="M53" s="13" t="b">
        <v>0</v>
      </c>
      <c r="N53" s="17" t="s">
        <v>769</v>
      </c>
      <c r="O53" s="1" t="s">
        <v>372</v>
      </c>
      <c r="P53" s="17"/>
      <c r="Q53" s="13" t="b">
        <v>1</v>
      </c>
      <c r="R53" s="13" t="b">
        <v>1</v>
      </c>
      <c r="S53" s="13" t="b">
        <v>0</v>
      </c>
      <c r="T53" s="13" t="s">
        <v>730</v>
      </c>
      <c r="U53" s="12" t="s">
        <v>210</v>
      </c>
      <c r="V53" s="15" t="s">
        <v>373</v>
      </c>
      <c r="W53" s="29">
        <v>88</v>
      </c>
      <c r="X53" s="13"/>
      <c r="Y53" s="16" t="s">
        <v>374</v>
      </c>
      <c r="Z53" s="17" t="s">
        <v>29</v>
      </c>
      <c r="AA53" s="13" t="s">
        <v>736</v>
      </c>
      <c r="AB53" s="13" t="s">
        <v>856</v>
      </c>
      <c r="AC53" s="12"/>
      <c r="AD53" s="12"/>
      <c r="AE53" s="13" t="s">
        <v>871</v>
      </c>
      <c r="AF53" s="12"/>
      <c r="AG53" s="12" t="s">
        <v>312</v>
      </c>
      <c r="AH53" s="12" t="s">
        <v>965</v>
      </c>
    </row>
    <row r="54" spans="1:34" ht="52.8" x14ac:dyDescent="0.25">
      <c r="A54" s="12">
        <v>52</v>
      </c>
      <c r="B54" s="12" t="str">
        <f>_xlfn.CONCAT("S", Table1[[#This Row],[No]])</f>
        <v>S52</v>
      </c>
      <c r="C54" s="12" t="s">
        <v>377</v>
      </c>
      <c r="D54" s="13" t="s">
        <v>732</v>
      </c>
      <c r="E54" s="12" t="s">
        <v>375</v>
      </c>
      <c r="F54" s="12" t="s">
        <v>376</v>
      </c>
      <c r="G54" s="13">
        <v>2005</v>
      </c>
      <c r="H54" s="13" t="b">
        <v>1</v>
      </c>
      <c r="I54" s="13" t="b">
        <v>1</v>
      </c>
      <c r="J54" s="13" t="b">
        <v>0</v>
      </c>
      <c r="K54" s="13" t="b">
        <v>0</v>
      </c>
      <c r="L54" s="13" t="b">
        <v>0</v>
      </c>
      <c r="M54" s="13" t="b">
        <v>0</v>
      </c>
      <c r="N54" s="17" t="s">
        <v>381</v>
      </c>
      <c r="O54" s="1" t="s">
        <v>380</v>
      </c>
      <c r="P54" s="17"/>
      <c r="Q54" s="13" t="b">
        <v>1</v>
      </c>
      <c r="R54" s="13" t="b">
        <v>1</v>
      </c>
      <c r="S54" s="13" t="b">
        <v>1</v>
      </c>
      <c r="T54" s="13" t="s">
        <v>733</v>
      </c>
      <c r="U54" s="12" t="s">
        <v>378</v>
      </c>
      <c r="V54" s="15" t="s">
        <v>379</v>
      </c>
      <c r="W54" s="29"/>
      <c r="X54" s="13"/>
      <c r="Y54" s="16" t="s">
        <v>382</v>
      </c>
      <c r="Z54" s="17" t="s">
        <v>63</v>
      </c>
      <c r="AA54" s="13" t="s">
        <v>731</v>
      </c>
      <c r="AB54" s="13" t="s">
        <v>739</v>
      </c>
      <c r="AC54" s="12" t="s">
        <v>907</v>
      </c>
      <c r="AD54" s="12" t="s">
        <v>943</v>
      </c>
      <c r="AE54" s="13" t="s">
        <v>871</v>
      </c>
      <c r="AF54" s="12"/>
      <c r="AG54" s="12" t="s">
        <v>312</v>
      </c>
      <c r="AH54" s="12" t="s">
        <v>799</v>
      </c>
    </row>
    <row r="55" spans="1:34" ht="66" x14ac:dyDescent="0.25">
      <c r="A55" s="12">
        <v>53</v>
      </c>
      <c r="B55" s="12" t="str">
        <f>_xlfn.CONCAT("S", Table1[[#This Row],[No]])</f>
        <v>S53</v>
      </c>
      <c r="C55" s="12" t="s">
        <v>384</v>
      </c>
      <c r="D55" s="13" t="s">
        <v>732</v>
      </c>
      <c r="E55" s="12" t="s">
        <v>383</v>
      </c>
      <c r="F55" s="12" t="s">
        <v>388</v>
      </c>
      <c r="G55" s="13">
        <v>2017</v>
      </c>
      <c r="H55" s="13" t="b">
        <v>1</v>
      </c>
      <c r="I55" s="13" t="b">
        <v>1</v>
      </c>
      <c r="J55" s="13" t="b">
        <v>0</v>
      </c>
      <c r="K55" s="13" t="b">
        <v>0</v>
      </c>
      <c r="L55" s="13" t="b">
        <v>0</v>
      </c>
      <c r="M55" s="13" t="b">
        <v>0</v>
      </c>
      <c r="N55" s="17" t="s">
        <v>800</v>
      </c>
      <c r="O55" s="1" t="s">
        <v>385</v>
      </c>
      <c r="P55" s="17"/>
      <c r="Q55" s="13" t="b">
        <v>1</v>
      </c>
      <c r="R55" s="13" t="b">
        <v>1</v>
      </c>
      <c r="S55" s="13" t="b">
        <v>1</v>
      </c>
      <c r="T55" s="13" t="s">
        <v>730</v>
      </c>
      <c r="U55" s="12" t="s">
        <v>386</v>
      </c>
      <c r="V55" s="15" t="s">
        <v>186</v>
      </c>
      <c r="W55" s="29">
        <v>125</v>
      </c>
      <c r="X55" s="13"/>
      <c r="Y55" s="16" t="s">
        <v>387</v>
      </c>
      <c r="Z55" s="17" t="s">
        <v>29</v>
      </c>
      <c r="AA55" s="13" t="s">
        <v>737</v>
      </c>
      <c r="AB55" s="13" t="s">
        <v>739</v>
      </c>
      <c r="AC55" s="12" t="s">
        <v>911</v>
      </c>
      <c r="AD55" s="12" t="s">
        <v>943</v>
      </c>
      <c r="AE55" s="13" t="s">
        <v>760</v>
      </c>
      <c r="AF55" s="12" t="s">
        <v>801</v>
      </c>
      <c r="AG55" s="12" t="s">
        <v>312</v>
      </c>
      <c r="AH55" s="12" t="s">
        <v>952</v>
      </c>
    </row>
    <row r="56" spans="1:34" ht="92.4" hidden="1" customHeight="1" x14ac:dyDescent="0.25">
      <c r="A56" s="12">
        <v>54</v>
      </c>
      <c r="B56" s="12" t="str">
        <f>_xlfn.CONCAT("S", Table1[[#This Row],[No]])</f>
        <v>S54</v>
      </c>
      <c r="C56" s="12" t="s">
        <v>389</v>
      </c>
      <c r="D56" s="13" t="s">
        <v>734</v>
      </c>
      <c r="E56" s="12" t="s">
        <v>694</v>
      </c>
      <c r="F56" s="12" t="s">
        <v>390</v>
      </c>
      <c r="G56" s="13">
        <v>2012</v>
      </c>
      <c r="H56" s="13" t="b">
        <v>0</v>
      </c>
      <c r="I56" s="13" t="b">
        <v>1</v>
      </c>
      <c r="J56" s="13" t="b">
        <v>0</v>
      </c>
      <c r="K56" s="13" t="b">
        <v>0</v>
      </c>
      <c r="L56" s="13" t="b">
        <v>0</v>
      </c>
      <c r="M56" s="13" t="b">
        <v>0</v>
      </c>
      <c r="N56" s="17" t="s">
        <v>805</v>
      </c>
      <c r="O56" s="1" t="s">
        <v>394</v>
      </c>
      <c r="P56" s="17"/>
      <c r="Q56" s="13" t="b">
        <v>1</v>
      </c>
      <c r="R56" s="13" t="b">
        <v>1</v>
      </c>
      <c r="S56" s="13" t="b">
        <v>0</v>
      </c>
      <c r="T56" s="13" t="s">
        <v>733</v>
      </c>
      <c r="U56" s="12" t="s">
        <v>391</v>
      </c>
      <c r="V56" s="15" t="s">
        <v>393</v>
      </c>
      <c r="W56" s="29"/>
      <c r="X56" s="13"/>
      <c r="Y56" s="16" t="s">
        <v>392</v>
      </c>
      <c r="Z56" s="17" t="s">
        <v>78</v>
      </c>
      <c r="AA56" s="13" t="s">
        <v>736</v>
      </c>
      <c r="AB56" s="13" t="s">
        <v>856</v>
      </c>
      <c r="AC56" s="12"/>
      <c r="AD56" s="12"/>
      <c r="AE56" s="13" t="s">
        <v>897</v>
      </c>
      <c r="AF56" s="12"/>
      <c r="AG56" s="12" t="s">
        <v>312</v>
      </c>
      <c r="AH56" s="12" t="s">
        <v>802</v>
      </c>
    </row>
    <row r="57" spans="1:34" ht="52.8" hidden="1" x14ac:dyDescent="0.25">
      <c r="A57" s="12">
        <v>55</v>
      </c>
      <c r="B57" s="12" t="str">
        <f>_xlfn.CONCAT("S", Table1[[#This Row],[No]])</f>
        <v>S55</v>
      </c>
      <c r="C57" s="12" t="s">
        <v>396</v>
      </c>
      <c r="D57" s="13" t="s">
        <v>734</v>
      </c>
      <c r="E57" s="12" t="s">
        <v>395</v>
      </c>
      <c r="F57" s="12" t="s">
        <v>397</v>
      </c>
      <c r="G57" s="13">
        <v>2014</v>
      </c>
      <c r="H57" s="13" t="b">
        <v>0</v>
      </c>
      <c r="I57" s="13" t="b">
        <v>1</v>
      </c>
      <c r="J57" s="13" t="b">
        <v>0</v>
      </c>
      <c r="K57" s="13" t="b">
        <v>0</v>
      </c>
      <c r="L57" s="13" t="b">
        <v>0</v>
      </c>
      <c r="M57" s="13" t="b">
        <v>0</v>
      </c>
      <c r="N57" s="17" t="s">
        <v>806</v>
      </c>
      <c r="O57" s="1"/>
      <c r="P57" s="17"/>
      <c r="Q57" s="13" t="b">
        <v>1</v>
      </c>
      <c r="R57" s="13" t="b">
        <v>1</v>
      </c>
      <c r="S57" s="13" t="b">
        <v>1</v>
      </c>
      <c r="T57" s="13" t="s">
        <v>733</v>
      </c>
      <c r="U57" s="12" t="s">
        <v>398</v>
      </c>
      <c r="V57" s="15" t="s">
        <v>399</v>
      </c>
      <c r="W57" s="29"/>
      <c r="X57" s="13"/>
      <c r="Y57" s="16" t="s">
        <v>400</v>
      </c>
      <c r="Z57" s="12" t="s">
        <v>401</v>
      </c>
      <c r="AA57" s="13" t="s">
        <v>731</v>
      </c>
      <c r="AB57" s="13" t="s">
        <v>860</v>
      </c>
      <c r="AC57" s="12" t="s">
        <v>908</v>
      </c>
      <c r="AD57" s="12" t="s">
        <v>947</v>
      </c>
      <c r="AE57" s="13" t="s">
        <v>760</v>
      </c>
      <c r="AF57" s="12" t="s">
        <v>916</v>
      </c>
      <c r="AG57" s="12" t="s">
        <v>312</v>
      </c>
      <c r="AH57" s="12" t="s">
        <v>807</v>
      </c>
    </row>
    <row r="58" spans="1:34" ht="66" hidden="1" x14ac:dyDescent="0.25">
      <c r="A58" s="12">
        <v>56</v>
      </c>
      <c r="B58" s="12" t="str">
        <f>_xlfn.CONCAT("S", Table1[[#This Row],[No]])</f>
        <v>S56</v>
      </c>
      <c r="C58" s="12" t="s">
        <v>403</v>
      </c>
      <c r="D58" s="13" t="s">
        <v>734</v>
      </c>
      <c r="E58" s="12" t="s">
        <v>402</v>
      </c>
      <c r="F58" s="12" t="s">
        <v>404</v>
      </c>
      <c r="G58" s="13">
        <v>2012</v>
      </c>
      <c r="H58" s="13" t="b">
        <v>0</v>
      </c>
      <c r="I58" s="13" t="b">
        <v>1</v>
      </c>
      <c r="J58" s="13" t="b">
        <v>0</v>
      </c>
      <c r="K58" s="13" t="b">
        <v>0</v>
      </c>
      <c r="L58" s="13" t="b">
        <v>0</v>
      </c>
      <c r="M58" s="13" t="b">
        <v>0</v>
      </c>
      <c r="N58" s="17"/>
      <c r="O58" s="17"/>
      <c r="P58" s="1" t="s">
        <v>405</v>
      </c>
      <c r="Q58" s="13" t="b">
        <v>1</v>
      </c>
      <c r="R58" s="13" t="b">
        <v>1</v>
      </c>
      <c r="S58" s="13" t="b">
        <v>1</v>
      </c>
      <c r="T58" s="13" t="s">
        <v>808</v>
      </c>
      <c r="U58" s="12" t="s">
        <v>406</v>
      </c>
      <c r="V58" s="15"/>
      <c r="W58" s="29"/>
      <c r="X58" s="13"/>
      <c r="Y58" s="16"/>
      <c r="Z58" s="12" t="s">
        <v>407</v>
      </c>
      <c r="AA58" s="13" t="s">
        <v>731</v>
      </c>
      <c r="AB58" s="13" t="s">
        <v>739</v>
      </c>
      <c r="AC58" s="12" t="s">
        <v>909</v>
      </c>
      <c r="AD58" s="12" t="s">
        <v>947</v>
      </c>
      <c r="AE58" s="13" t="s">
        <v>871</v>
      </c>
      <c r="AF58" s="12"/>
      <c r="AG58" s="12" t="s">
        <v>312</v>
      </c>
      <c r="AH58" s="12" t="s">
        <v>910</v>
      </c>
    </row>
    <row r="59" spans="1:34" ht="52.8" hidden="1" customHeight="1" x14ac:dyDescent="0.25">
      <c r="A59" s="12">
        <v>57</v>
      </c>
      <c r="B59" s="12" t="str">
        <f>_xlfn.CONCAT("S", Table1[[#This Row],[No]])</f>
        <v>S57</v>
      </c>
      <c r="C59" s="12" t="s">
        <v>409</v>
      </c>
      <c r="D59" s="13" t="s">
        <v>734</v>
      </c>
      <c r="E59" s="12" t="s">
        <v>408</v>
      </c>
      <c r="F59" s="12" t="s">
        <v>410</v>
      </c>
      <c r="G59" s="13">
        <v>2008</v>
      </c>
      <c r="H59" s="13" t="b">
        <v>0</v>
      </c>
      <c r="I59" s="13" t="b">
        <v>1</v>
      </c>
      <c r="J59" s="13" t="b">
        <v>0</v>
      </c>
      <c r="K59" s="13" t="b">
        <v>0</v>
      </c>
      <c r="L59" s="13" t="b">
        <v>0</v>
      </c>
      <c r="M59" s="13" t="b">
        <v>0</v>
      </c>
      <c r="N59" s="17" t="s">
        <v>809</v>
      </c>
      <c r="O59" s="1" t="s">
        <v>413</v>
      </c>
      <c r="P59" s="17"/>
      <c r="Q59" s="13" t="b">
        <v>1</v>
      </c>
      <c r="R59" s="13" t="b">
        <v>1</v>
      </c>
      <c r="S59" s="13" t="b">
        <v>0</v>
      </c>
      <c r="T59" s="13" t="s">
        <v>778</v>
      </c>
      <c r="U59" s="12" t="s">
        <v>411</v>
      </c>
      <c r="V59" s="15" t="s">
        <v>307</v>
      </c>
      <c r="W59" s="29"/>
      <c r="X59" s="13"/>
      <c r="Y59" s="16" t="s">
        <v>412</v>
      </c>
      <c r="Z59" s="17" t="s">
        <v>78</v>
      </c>
      <c r="AA59" s="13" t="s">
        <v>731</v>
      </c>
      <c r="AB59" s="13" t="s">
        <v>856</v>
      </c>
      <c r="AC59" s="12"/>
      <c r="AD59" s="12"/>
      <c r="AE59" s="13" t="s">
        <v>871</v>
      </c>
      <c r="AF59" s="12"/>
      <c r="AG59" s="12" t="s">
        <v>312</v>
      </c>
      <c r="AH59" s="12" t="s">
        <v>811</v>
      </c>
    </row>
    <row r="60" spans="1:34" ht="39.6" hidden="1" customHeight="1" x14ac:dyDescent="0.25">
      <c r="A60" s="12">
        <v>58</v>
      </c>
      <c r="B60" s="12" t="str">
        <f>_xlfn.CONCAT("S", Table1[[#This Row],[No]])</f>
        <v>S58</v>
      </c>
      <c r="C60" s="12" t="s">
        <v>415</v>
      </c>
      <c r="D60" s="13" t="s">
        <v>734</v>
      </c>
      <c r="E60" s="12" t="s">
        <v>414</v>
      </c>
      <c r="F60" s="12" t="s">
        <v>420</v>
      </c>
      <c r="G60" s="13">
        <v>2009</v>
      </c>
      <c r="H60" s="13" t="b">
        <v>0</v>
      </c>
      <c r="I60" s="13" t="b">
        <v>1</v>
      </c>
      <c r="J60" s="13" t="b">
        <v>0</v>
      </c>
      <c r="K60" s="13" t="b">
        <v>0</v>
      </c>
      <c r="L60" s="13" t="b">
        <v>0</v>
      </c>
      <c r="M60" s="13" t="b">
        <v>0</v>
      </c>
      <c r="N60" s="17" t="s">
        <v>419</v>
      </c>
      <c r="O60" s="1" t="s">
        <v>418</v>
      </c>
      <c r="P60" s="17"/>
      <c r="Q60" s="13" t="b">
        <v>1</v>
      </c>
      <c r="R60" s="13" t="b">
        <v>1</v>
      </c>
      <c r="S60" s="13" t="b">
        <v>0</v>
      </c>
      <c r="T60" s="13" t="s">
        <v>733</v>
      </c>
      <c r="U60" s="12" t="s">
        <v>416</v>
      </c>
      <c r="V60" s="15" t="s">
        <v>417</v>
      </c>
      <c r="W60" s="29"/>
      <c r="X60" s="13"/>
      <c r="Y60" s="16" t="s">
        <v>810</v>
      </c>
      <c r="Z60" s="17" t="s">
        <v>63</v>
      </c>
      <c r="AA60" s="13" t="s">
        <v>731</v>
      </c>
      <c r="AB60" s="13" t="s">
        <v>856</v>
      </c>
      <c r="AC60" s="12"/>
      <c r="AD60" s="12"/>
      <c r="AE60" s="13" t="s">
        <v>854</v>
      </c>
      <c r="AF60" s="12"/>
      <c r="AG60" s="12" t="s">
        <v>312</v>
      </c>
      <c r="AH60" s="12" t="s">
        <v>813</v>
      </c>
    </row>
    <row r="61" spans="1:34" ht="79.2" hidden="1" customHeight="1" x14ac:dyDescent="0.25">
      <c r="A61" s="12">
        <v>59</v>
      </c>
      <c r="B61" s="12" t="str">
        <f>_xlfn.CONCAT("S", Table1[[#This Row],[No]])</f>
        <v>S59</v>
      </c>
      <c r="C61" s="12" t="s">
        <v>426</v>
      </c>
      <c r="D61" s="13" t="s">
        <v>734</v>
      </c>
      <c r="E61" s="12" t="s">
        <v>421</v>
      </c>
      <c r="F61" s="12" t="s">
        <v>422</v>
      </c>
      <c r="G61" s="13">
        <v>2018</v>
      </c>
      <c r="H61" s="13" t="b">
        <v>0</v>
      </c>
      <c r="I61" s="13" t="b">
        <v>1</v>
      </c>
      <c r="J61" s="13" t="b">
        <v>0</v>
      </c>
      <c r="K61" s="13" t="b">
        <v>0</v>
      </c>
      <c r="L61" s="13" t="b">
        <v>0</v>
      </c>
      <c r="M61" s="13" t="b">
        <v>0</v>
      </c>
      <c r="N61" s="17" t="s">
        <v>427</v>
      </c>
      <c r="O61" s="1" t="s">
        <v>423</v>
      </c>
      <c r="P61" s="17"/>
      <c r="Q61" s="13" t="b">
        <v>1</v>
      </c>
      <c r="R61" s="13" t="b">
        <v>1</v>
      </c>
      <c r="S61" s="13" t="b">
        <v>0</v>
      </c>
      <c r="T61" s="13" t="s">
        <v>730</v>
      </c>
      <c r="U61" s="12" t="s">
        <v>424</v>
      </c>
      <c r="V61" s="15" t="s">
        <v>425</v>
      </c>
      <c r="W61" s="29">
        <v>13</v>
      </c>
      <c r="X61" s="13"/>
      <c r="Y61" s="16"/>
      <c r="Z61" s="17" t="s">
        <v>428</v>
      </c>
      <c r="AA61" s="13" t="s">
        <v>731</v>
      </c>
      <c r="AB61" s="13" t="s">
        <v>856</v>
      </c>
      <c r="AC61" s="12"/>
      <c r="AD61" s="12"/>
      <c r="AE61" s="13" t="s">
        <v>758</v>
      </c>
      <c r="AF61" s="12"/>
      <c r="AG61" s="12" t="s">
        <v>312</v>
      </c>
      <c r="AH61" s="12" t="s">
        <v>814</v>
      </c>
    </row>
    <row r="62" spans="1:34" ht="66" x14ac:dyDescent="0.25">
      <c r="A62" s="12">
        <v>60</v>
      </c>
      <c r="B62" s="12" t="str">
        <f>_xlfn.CONCAT("S", Table1[[#This Row],[No]])</f>
        <v>S60</v>
      </c>
      <c r="C62" s="12" t="s">
        <v>430</v>
      </c>
      <c r="D62" s="13" t="s">
        <v>732</v>
      </c>
      <c r="E62" s="12" t="s">
        <v>429</v>
      </c>
      <c r="F62" s="12" t="s">
        <v>431</v>
      </c>
      <c r="G62" s="13">
        <v>2013</v>
      </c>
      <c r="H62" s="13" t="b">
        <v>1</v>
      </c>
      <c r="I62" s="13" t="b">
        <v>1</v>
      </c>
      <c r="J62" s="13" t="b">
        <v>0</v>
      </c>
      <c r="K62" s="13" t="b">
        <v>0</v>
      </c>
      <c r="L62" s="13" t="b">
        <v>0</v>
      </c>
      <c r="M62" s="13" t="b">
        <v>0</v>
      </c>
      <c r="N62" s="17" t="s">
        <v>433</v>
      </c>
      <c r="O62" s="1" t="s">
        <v>432</v>
      </c>
      <c r="P62" s="17"/>
      <c r="Q62" s="13" t="b">
        <v>1</v>
      </c>
      <c r="R62" s="13" t="b">
        <v>1</v>
      </c>
      <c r="S62" s="13" t="b">
        <v>1</v>
      </c>
      <c r="T62" s="13" t="s">
        <v>730</v>
      </c>
      <c r="U62" s="12" t="s">
        <v>147</v>
      </c>
      <c r="V62" s="15"/>
      <c r="W62" s="29">
        <v>7957</v>
      </c>
      <c r="X62" s="13"/>
      <c r="Y62" s="16" t="s">
        <v>434</v>
      </c>
      <c r="Z62" s="17" t="s">
        <v>59</v>
      </c>
      <c r="AA62" s="13" t="s">
        <v>731</v>
      </c>
      <c r="AB62" s="13" t="s">
        <v>785</v>
      </c>
      <c r="AC62" s="12"/>
      <c r="AD62" s="12" t="s">
        <v>943</v>
      </c>
      <c r="AE62" s="13" t="s">
        <v>871</v>
      </c>
      <c r="AF62" s="12"/>
      <c r="AG62" s="12" t="s">
        <v>312</v>
      </c>
      <c r="AH62" s="12" t="s">
        <v>953</v>
      </c>
    </row>
    <row r="63" spans="1:34" ht="39.6" x14ac:dyDescent="0.25">
      <c r="A63" s="12">
        <v>61</v>
      </c>
      <c r="B63" s="12" t="str">
        <f>_xlfn.CONCAT("S", Table1[[#This Row],[No]])</f>
        <v>S61</v>
      </c>
      <c r="C63" s="12" t="s">
        <v>436</v>
      </c>
      <c r="D63" s="13" t="s">
        <v>732</v>
      </c>
      <c r="E63" s="12" t="s">
        <v>435</v>
      </c>
      <c r="F63" s="12" t="s">
        <v>437</v>
      </c>
      <c r="G63" s="13">
        <v>2023</v>
      </c>
      <c r="H63" s="13" t="b">
        <v>1</v>
      </c>
      <c r="I63" s="13" t="b">
        <v>1</v>
      </c>
      <c r="J63" s="13" t="b">
        <v>0</v>
      </c>
      <c r="K63" s="13" t="b">
        <v>0</v>
      </c>
      <c r="L63" s="13" t="b">
        <v>0</v>
      </c>
      <c r="M63" s="13" t="b">
        <v>0</v>
      </c>
      <c r="N63" s="17" t="s">
        <v>441</v>
      </c>
      <c r="O63" s="1" t="s">
        <v>439</v>
      </c>
      <c r="P63" s="17"/>
      <c r="Q63" s="13" t="b">
        <v>1</v>
      </c>
      <c r="R63" s="13" t="b">
        <v>1</v>
      </c>
      <c r="S63" s="13" t="b">
        <v>1</v>
      </c>
      <c r="T63" s="13" t="s">
        <v>730</v>
      </c>
      <c r="U63" s="12" t="s">
        <v>438</v>
      </c>
      <c r="V63" s="15" t="s">
        <v>440</v>
      </c>
      <c r="W63" s="29">
        <v>276</v>
      </c>
      <c r="X63" s="13"/>
      <c r="Y63" s="16"/>
      <c r="Z63" s="17" t="s">
        <v>29</v>
      </c>
      <c r="AA63" s="13" t="s">
        <v>731</v>
      </c>
      <c r="AB63" s="13" t="s">
        <v>739</v>
      </c>
      <c r="AC63" s="12" t="s">
        <v>912</v>
      </c>
      <c r="AD63" s="12" t="s">
        <v>943</v>
      </c>
      <c r="AE63" s="13" t="s">
        <v>760</v>
      </c>
      <c r="AF63" s="12" t="s">
        <v>815</v>
      </c>
      <c r="AG63" s="12" t="s">
        <v>312</v>
      </c>
      <c r="AH63" s="12" t="s">
        <v>816</v>
      </c>
    </row>
    <row r="64" spans="1:34" ht="79.2" hidden="1" customHeight="1" x14ac:dyDescent="0.25">
      <c r="A64" s="12">
        <v>62</v>
      </c>
      <c r="B64" s="12" t="str">
        <f>_xlfn.CONCAT("S", Table1[[#This Row],[No]])</f>
        <v>S62</v>
      </c>
      <c r="C64" s="12" t="s">
        <v>442</v>
      </c>
      <c r="D64" s="13" t="s">
        <v>734</v>
      </c>
      <c r="E64" s="12" t="s">
        <v>449</v>
      </c>
      <c r="F64" s="12" t="s">
        <v>443</v>
      </c>
      <c r="G64" s="13">
        <v>2020</v>
      </c>
      <c r="H64" s="13" t="b">
        <v>0</v>
      </c>
      <c r="I64" s="13" t="b">
        <v>1</v>
      </c>
      <c r="J64" s="13" t="b">
        <v>0</v>
      </c>
      <c r="K64" s="13" t="b">
        <v>0</v>
      </c>
      <c r="L64" s="13" t="b">
        <v>0</v>
      </c>
      <c r="M64" s="13" t="b">
        <v>0</v>
      </c>
      <c r="N64" s="17" t="s">
        <v>447</v>
      </c>
      <c r="O64" s="1" t="s">
        <v>446</v>
      </c>
      <c r="P64" s="17"/>
      <c r="Q64" s="13" t="b">
        <v>1</v>
      </c>
      <c r="R64" s="13" t="b">
        <v>1</v>
      </c>
      <c r="S64" s="13" t="b">
        <v>0</v>
      </c>
      <c r="T64" s="13" t="s">
        <v>733</v>
      </c>
      <c r="U64" s="12" t="s">
        <v>444</v>
      </c>
      <c r="V64" s="15"/>
      <c r="W64" s="29">
        <v>2</v>
      </c>
      <c r="X64" s="13"/>
      <c r="Y64" s="16" t="s">
        <v>445</v>
      </c>
      <c r="Z64" s="17" t="s">
        <v>448</v>
      </c>
      <c r="AA64" s="13" t="s">
        <v>737</v>
      </c>
      <c r="AB64" s="13" t="s">
        <v>856</v>
      </c>
      <c r="AC64" s="12"/>
      <c r="AD64" s="12"/>
      <c r="AE64" s="13" t="s">
        <v>854</v>
      </c>
      <c r="AF64" s="12"/>
      <c r="AG64" s="12" t="s">
        <v>312</v>
      </c>
      <c r="AH64" s="12" t="s">
        <v>817</v>
      </c>
    </row>
    <row r="65" spans="1:34" ht="52.8" x14ac:dyDescent="0.25">
      <c r="A65" s="12">
        <v>63</v>
      </c>
      <c r="B65" s="12" t="str">
        <f>_xlfn.CONCAT("S", Table1[[#This Row],[No]])</f>
        <v>S63</v>
      </c>
      <c r="C65" s="12" t="s">
        <v>451</v>
      </c>
      <c r="D65" s="13" t="s">
        <v>732</v>
      </c>
      <c r="E65" s="12" t="s">
        <v>450</v>
      </c>
      <c r="F65" s="17" t="s">
        <v>452</v>
      </c>
      <c r="G65" s="13">
        <v>2009</v>
      </c>
      <c r="H65" s="13" t="b">
        <v>1</v>
      </c>
      <c r="I65" s="13" t="b">
        <v>1</v>
      </c>
      <c r="J65" s="13" t="b">
        <v>0</v>
      </c>
      <c r="K65" s="13" t="b">
        <v>0</v>
      </c>
      <c r="L65" s="13" t="b">
        <v>0</v>
      </c>
      <c r="M65" s="13" t="b">
        <v>0</v>
      </c>
      <c r="N65" s="17"/>
      <c r="O65" s="17"/>
      <c r="P65" s="1" t="s">
        <v>454</v>
      </c>
      <c r="Q65" s="13" t="b">
        <v>1</v>
      </c>
      <c r="R65" s="13" t="b">
        <v>1</v>
      </c>
      <c r="S65" s="13" t="b">
        <v>1</v>
      </c>
      <c r="T65" s="13" t="s">
        <v>730</v>
      </c>
      <c r="U65" s="12"/>
      <c r="V65" s="15"/>
      <c r="W65" s="29"/>
      <c r="X65" s="13"/>
      <c r="Y65" s="16"/>
      <c r="Z65" s="12" t="s">
        <v>453</v>
      </c>
      <c r="AA65" s="13" t="s">
        <v>731</v>
      </c>
      <c r="AB65" s="13" t="s">
        <v>785</v>
      </c>
      <c r="AC65" s="12"/>
      <c r="AD65" s="12" t="s">
        <v>943</v>
      </c>
      <c r="AE65" s="13" t="s">
        <v>854</v>
      </c>
      <c r="AF65" s="12"/>
      <c r="AG65" s="12" t="s">
        <v>312</v>
      </c>
      <c r="AH65" s="12" t="s">
        <v>913</v>
      </c>
    </row>
    <row r="66" spans="1:34" ht="132" x14ac:dyDescent="0.25">
      <c r="A66" s="12">
        <v>64</v>
      </c>
      <c r="B66" s="12" t="str">
        <f>_xlfn.CONCAT("S", Table1[[#This Row],[No]])</f>
        <v>S64</v>
      </c>
      <c r="C66" s="12" t="s">
        <v>456</v>
      </c>
      <c r="D66" s="13" t="s">
        <v>732</v>
      </c>
      <c r="E66" s="12" t="s">
        <v>455</v>
      </c>
      <c r="F66" s="17" t="s">
        <v>457</v>
      </c>
      <c r="G66" s="13">
        <v>2014</v>
      </c>
      <c r="H66" s="13" t="b">
        <v>1</v>
      </c>
      <c r="I66" s="13" t="b">
        <v>1</v>
      </c>
      <c r="J66" s="13" t="b">
        <v>0</v>
      </c>
      <c r="K66" s="13" t="b">
        <v>0</v>
      </c>
      <c r="L66" s="13" t="b">
        <v>0</v>
      </c>
      <c r="M66" s="13" t="b">
        <v>0</v>
      </c>
      <c r="N66" s="17" t="s">
        <v>462</v>
      </c>
      <c r="O66" s="1" t="s">
        <v>458</v>
      </c>
      <c r="P66" s="1" t="s">
        <v>460</v>
      </c>
      <c r="Q66" s="13" t="b">
        <v>1</v>
      </c>
      <c r="R66" s="13" t="b">
        <v>1</v>
      </c>
      <c r="S66" s="13" t="b">
        <v>1</v>
      </c>
      <c r="T66" s="13" t="s">
        <v>730</v>
      </c>
      <c r="U66" s="12" t="s">
        <v>463</v>
      </c>
      <c r="V66" s="15" t="s">
        <v>459</v>
      </c>
      <c r="W66" s="29">
        <v>3</v>
      </c>
      <c r="X66" s="13">
        <v>4</v>
      </c>
      <c r="Y66" s="16" t="s">
        <v>461</v>
      </c>
      <c r="Z66" s="12" t="s">
        <v>464</v>
      </c>
      <c r="AA66" s="13" t="s">
        <v>731</v>
      </c>
      <c r="AB66" s="13" t="s">
        <v>767</v>
      </c>
      <c r="AC66" s="12"/>
      <c r="AD66" s="12" t="s">
        <v>943</v>
      </c>
      <c r="AE66" s="13" t="s">
        <v>760</v>
      </c>
      <c r="AF66" s="12" t="s">
        <v>914</v>
      </c>
      <c r="AG66" s="12" t="s">
        <v>312</v>
      </c>
      <c r="AH66" s="12" t="s">
        <v>954</v>
      </c>
    </row>
    <row r="67" spans="1:34" ht="39.6" hidden="1" x14ac:dyDescent="0.25">
      <c r="A67" s="12">
        <v>65</v>
      </c>
      <c r="B67" s="12" t="str">
        <f>_xlfn.CONCAT("S", Table1[[#This Row],[No]])</f>
        <v>S65</v>
      </c>
      <c r="C67" s="12" t="s">
        <v>466</v>
      </c>
      <c r="D67" s="13" t="s">
        <v>734</v>
      </c>
      <c r="E67" s="12" t="s">
        <v>465</v>
      </c>
      <c r="F67" s="12" t="s">
        <v>467</v>
      </c>
      <c r="G67" s="13">
        <v>2016</v>
      </c>
      <c r="H67" s="13" t="b">
        <v>0</v>
      </c>
      <c r="I67" s="13" t="b">
        <v>1</v>
      </c>
      <c r="J67" s="13" t="b">
        <v>0</v>
      </c>
      <c r="K67" s="13" t="b">
        <v>0</v>
      </c>
      <c r="L67" s="13" t="b">
        <v>0</v>
      </c>
      <c r="M67" s="13" t="b">
        <v>0</v>
      </c>
      <c r="N67" s="17" t="s">
        <v>468</v>
      </c>
      <c r="O67" s="17"/>
      <c r="P67" s="1" t="s">
        <v>471</v>
      </c>
      <c r="Q67" s="13" t="b">
        <v>1</v>
      </c>
      <c r="R67" s="13" t="b">
        <v>1</v>
      </c>
      <c r="S67" s="13" t="b">
        <v>1</v>
      </c>
      <c r="T67" s="13" t="s">
        <v>733</v>
      </c>
      <c r="U67" s="12" t="s">
        <v>469</v>
      </c>
      <c r="V67" s="15"/>
      <c r="W67" s="29">
        <v>2</v>
      </c>
      <c r="X67" s="13"/>
      <c r="Y67" s="16" t="s">
        <v>470</v>
      </c>
      <c r="Z67" s="17" t="s">
        <v>448</v>
      </c>
      <c r="AA67" s="13" t="s">
        <v>731</v>
      </c>
      <c r="AB67" s="13" t="s">
        <v>759</v>
      </c>
      <c r="AC67" s="12"/>
      <c r="AD67" s="12" t="s">
        <v>947</v>
      </c>
      <c r="AE67" s="13" t="s">
        <v>758</v>
      </c>
      <c r="AF67" s="12"/>
      <c r="AG67" s="12" t="s">
        <v>312</v>
      </c>
      <c r="AH67" s="12" t="s">
        <v>915</v>
      </c>
    </row>
    <row r="68" spans="1:34" ht="39.6" hidden="1" customHeight="1" x14ac:dyDescent="0.25">
      <c r="A68" s="12">
        <v>66</v>
      </c>
      <c r="B68" s="12" t="str">
        <f>_xlfn.CONCAT("S", Table1[[#This Row],[No]])</f>
        <v>S66</v>
      </c>
      <c r="C68" s="12" t="s">
        <v>473</v>
      </c>
      <c r="D68" s="13" t="s">
        <v>734</v>
      </c>
      <c r="E68" s="12" t="s">
        <v>472</v>
      </c>
      <c r="F68" s="12" t="s">
        <v>474</v>
      </c>
      <c r="G68" s="13">
        <v>2005</v>
      </c>
      <c r="H68" s="13" t="b">
        <v>0</v>
      </c>
      <c r="I68" s="13" t="b">
        <v>1</v>
      </c>
      <c r="J68" s="13" t="b">
        <v>0</v>
      </c>
      <c r="K68" s="13" t="b">
        <v>0</v>
      </c>
      <c r="L68" s="13" t="b">
        <v>0</v>
      </c>
      <c r="M68" s="13" t="b">
        <v>0</v>
      </c>
      <c r="N68" s="17" t="s">
        <v>476</v>
      </c>
      <c r="O68" s="1" t="s">
        <v>477</v>
      </c>
      <c r="P68" s="23"/>
      <c r="Q68" s="13" t="b">
        <v>1</v>
      </c>
      <c r="R68" s="13" t="b">
        <v>1</v>
      </c>
      <c r="S68" s="13" t="b">
        <v>0</v>
      </c>
      <c r="T68" s="13" t="s">
        <v>733</v>
      </c>
      <c r="U68" s="12" t="s">
        <v>475</v>
      </c>
      <c r="V68" s="15"/>
      <c r="W68" s="29"/>
      <c r="X68" s="13"/>
      <c r="Y68" s="16"/>
      <c r="Z68" s="17" t="s">
        <v>63</v>
      </c>
      <c r="AA68" s="13" t="s">
        <v>731</v>
      </c>
      <c r="AB68" s="13" t="s">
        <v>856</v>
      </c>
      <c r="AC68" s="12"/>
      <c r="AD68" s="12"/>
      <c r="AE68" s="13" t="s">
        <v>760</v>
      </c>
      <c r="AF68" s="12" t="s">
        <v>829</v>
      </c>
      <c r="AG68" s="12" t="s">
        <v>312</v>
      </c>
      <c r="AH68" s="12" t="s">
        <v>818</v>
      </c>
    </row>
    <row r="69" spans="1:34" ht="92.4" hidden="1" customHeight="1" x14ac:dyDescent="0.25">
      <c r="A69" s="12">
        <v>67</v>
      </c>
      <c r="B69" s="12" t="str">
        <f>_xlfn.CONCAT("S", Table1[[#This Row],[No]])</f>
        <v>S67</v>
      </c>
      <c r="C69" s="12" t="s">
        <v>479</v>
      </c>
      <c r="D69" s="13" t="s">
        <v>734</v>
      </c>
      <c r="E69" s="12" t="s">
        <v>478</v>
      </c>
      <c r="F69" s="12" t="s">
        <v>480</v>
      </c>
      <c r="G69" s="13">
        <v>2005</v>
      </c>
      <c r="H69" s="13" t="b">
        <v>0</v>
      </c>
      <c r="I69" s="13" t="b">
        <v>1</v>
      </c>
      <c r="J69" s="13" t="b">
        <v>0</v>
      </c>
      <c r="K69" s="13" t="b">
        <v>0</v>
      </c>
      <c r="L69" s="13" t="b">
        <v>0</v>
      </c>
      <c r="M69" s="13" t="b">
        <v>0</v>
      </c>
      <c r="N69" s="17"/>
      <c r="O69" s="17"/>
      <c r="P69" s="1" t="s">
        <v>483</v>
      </c>
      <c r="Q69" s="13" t="b">
        <v>1</v>
      </c>
      <c r="R69" s="13" t="b">
        <v>1</v>
      </c>
      <c r="S69" s="13" t="b">
        <v>0</v>
      </c>
      <c r="T69" s="13" t="s">
        <v>733</v>
      </c>
      <c r="U69" s="12" t="s">
        <v>484</v>
      </c>
      <c r="V69" s="15" t="s">
        <v>482</v>
      </c>
      <c r="W69" s="29">
        <v>46</v>
      </c>
      <c r="X69" s="13"/>
      <c r="Y69" s="16"/>
      <c r="Z69" s="12" t="s">
        <v>481</v>
      </c>
      <c r="AA69" s="13" t="s">
        <v>731</v>
      </c>
      <c r="AB69" s="13" t="s">
        <v>856</v>
      </c>
      <c r="AC69" s="12"/>
      <c r="AD69" s="12"/>
      <c r="AE69" s="13" t="s">
        <v>760</v>
      </c>
      <c r="AF69" s="12" t="s">
        <v>917</v>
      </c>
      <c r="AG69" s="12" t="s">
        <v>312</v>
      </c>
      <c r="AH69" s="12" t="s">
        <v>819</v>
      </c>
    </row>
    <row r="70" spans="1:34" ht="66" hidden="1" x14ac:dyDescent="0.25">
      <c r="A70" s="12">
        <v>68</v>
      </c>
      <c r="B70" s="12" t="str">
        <f>_xlfn.CONCAT("S", Table1[[#This Row],[No]])</f>
        <v>S68</v>
      </c>
      <c r="C70" s="12" t="s">
        <v>485</v>
      </c>
      <c r="D70" s="13" t="s">
        <v>734</v>
      </c>
      <c r="E70" s="12" t="s">
        <v>491</v>
      </c>
      <c r="F70" s="12" t="s">
        <v>489</v>
      </c>
      <c r="G70" s="13">
        <v>2019</v>
      </c>
      <c r="H70" s="13" t="b">
        <v>0</v>
      </c>
      <c r="I70" s="13" t="b">
        <v>1</v>
      </c>
      <c r="J70" s="13" t="b">
        <v>0</v>
      </c>
      <c r="K70" s="13" t="b">
        <v>0</v>
      </c>
      <c r="L70" s="13" t="b">
        <v>0</v>
      </c>
      <c r="M70" s="13" t="b">
        <v>0</v>
      </c>
      <c r="N70" s="17" t="s">
        <v>490</v>
      </c>
      <c r="O70" s="1" t="s">
        <v>488</v>
      </c>
      <c r="P70" s="17"/>
      <c r="Q70" s="13" t="b">
        <v>1</v>
      </c>
      <c r="R70" s="13" t="b">
        <v>1</v>
      </c>
      <c r="S70" s="13" t="b">
        <v>1</v>
      </c>
      <c r="T70" s="13" t="s">
        <v>730</v>
      </c>
      <c r="U70" s="12" t="s">
        <v>31</v>
      </c>
      <c r="V70" s="15" t="s">
        <v>486</v>
      </c>
      <c r="W70" s="29">
        <v>108</v>
      </c>
      <c r="X70" s="13"/>
      <c r="Y70" s="16" t="s">
        <v>487</v>
      </c>
      <c r="Z70" s="17" t="s">
        <v>29</v>
      </c>
      <c r="AA70" s="13" t="s">
        <v>731</v>
      </c>
      <c r="AB70" s="13" t="s">
        <v>739</v>
      </c>
      <c r="AC70" s="12" t="s">
        <v>872</v>
      </c>
      <c r="AD70" s="12" t="s">
        <v>947</v>
      </c>
      <c r="AE70" s="13" t="s">
        <v>854</v>
      </c>
      <c r="AF70" s="12"/>
      <c r="AG70" s="12" t="s">
        <v>312</v>
      </c>
      <c r="AH70" s="12" t="s">
        <v>918</v>
      </c>
    </row>
    <row r="71" spans="1:34" ht="92.4" hidden="1" customHeight="1" x14ac:dyDescent="0.25">
      <c r="A71" s="12">
        <v>69</v>
      </c>
      <c r="B71" s="12" t="str">
        <f>_xlfn.CONCAT("S", Table1[[#This Row],[No]])</f>
        <v>S69</v>
      </c>
      <c r="C71" s="12" t="s">
        <v>493</v>
      </c>
      <c r="D71" s="13" t="s">
        <v>734</v>
      </c>
      <c r="E71" s="12" t="s">
        <v>492</v>
      </c>
      <c r="F71" s="12" t="s">
        <v>494</v>
      </c>
      <c r="G71" s="13">
        <v>2023</v>
      </c>
      <c r="H71" s="13" t="b">
        <v>0</v>
      </c>
      <c r="I71" s="13" t="b">
        <v>1</v>
      </c>
      <c r="J71" s="13" t="b">
        <v>0</v>
      </c>
      <c r="K71" s="13" t="b">
        <v>0</v>
      </c>
      <c r="L71" s="13" t="b">
        <v>0</v>
      </c>
      <c r="M71" s="13" t="b">
        <v>0</v>
      </c>
      <c r="N71" s="17" t="s">
        <v>497</v>
      </c>
      <c r="O71" s="1" t="s">
        <v>496</v>
      </c>
      <c r="P71" s="17"/>
      <c r="Q71" s="13" t="b">
        <v>1</v>
      </c>
      <c r="R71" s="13" t="b">
        <v>1</v>
      </c>
      <c r="S71" s="13" t="b">
        <v>0</v>
      </c>
      <c r="T71" s="13" t="s">
        <v>730</v>
      </c>
      <c r="U71" s="12" t="s">
        <v>147</v>
      </c>
      <c r="V71" s="15"/>
      <c r="W71" s="29">
        <v>14212</v>
      </c>
      <c r="X71" s="13"/>
      <c r="Y71" s="16" t="s">
        <v>495</v>
      </c>
      <c r="Z71" s="17" t="s">
        <v>59</v>
      </c>
      <c r="AA71" s="13" t="s">
        <v>731</v>
      </c>
      <c r="AB71" s="13" t="s">
        <v>856</v>
      </c>
      <c r="AC71" s="12"/>
      <c r="AD71" s="12"/>
      <c r="AE71" s="13" t="s">
        <v>897</v>
      </c>
      <c r="AF71" s="12"/>
      <c r="AG71" s="12" t="s">
        <v>312</v>
      </c>
      <c r="AH71" s="12" t="s">
        <v>820</v>
      </c>
    </row>
    <row r="72" spans="1:34" ht="92.4" hidden="1" customHeight="1" x14ac:dyDescent="0.25">
      <c r="A72" s="12">
        <v>70</v>
      </c>
      <c r="B72" s="12" t="str">
        <f>_xlfn.CONCAT("S", Table1[[#This Row],[No]])</f>
        <v>S70</v>
      </c>
      <c r="C72" s="12" t="s">
        <v>499</v>
      </c>
      <c r="D72" s="13" t="s">
        <v>734</v>
      </c>
      <c r="E72" s="12" t="s">
        <v>498</v>
      </c>
      <c r="F72" s="12" t="s">
        <v>500</v>
      </c>
      <c r="G72" s="13">
        <v>2018</v>
      </c>
      <c r="H72" s="13" t="b">
        <v>0</v>
      </c>
      <c r="I72" s="13" t="b">
        <v>1</v>
      </c>
      <c r="J72" s="13" t="b">
        <v>0</v>
      </c>
      <c r="K72" s="13" t="b">
        <v>0</v>
      </c>
      <c r="L72" s="13" t="b">
        <v>0</v>
      </c>
      <c r="M72" s="13" t="b">
        <v>0</v>
      </c>
      <c r="N72" s="17" t="s">
        <v>504</v>
      </c>
      <c r="O72" s="1" t="s">
        <v>503</v>
      </c>
      <c r="P72" s="17"/>
      <c r="Q72" s="13" t="b">
        <v>1</v>
      </c>
      <c r="R72" s="13" t="b">
        <v>1</v>
      </c>
      <c r="S72" s="13" t="b">
        <v>0</v>
      </c>
      <c r="T72" s="13" t="s">
        <v>733</v>
      </c>
      <c r="U72" s="12" t="s">
        <v>501</v>
      </c>
      <c r="V72" s="15" t="s">
        <v>502</v>
      </c>
      <c r="W72" s="29"/>
      <c r="X72" s="13"/>
      <c r="Y72" s="16" t="s">
        <v>505</v>
      </c>
      <c r="Z72" s="17" t="s">
        <v>63</v>
      </c>
      <c r="AA72" s="13" t="s">
        <v>737</v>
      </c>
      <c r="AB72" s="13" t="s">
        <v>856</v>
      </c>
      <c r="AC72" s="12"/>
      <c r="AD72" s="12"/>
      <c r="AE72" s="13" t="s">
        <v>760</v>
      </c>
      <c r="AF72" s="12" t="s">
        <v>822</v>
      </c>
      <c r="AG72" s="12" t="s">
        <v>312</v>
      </c>
      <c r="AH72" s="12" t="s">
        <v>821</v>
      </c>
    </row>
    <row r="73" spans="1:34" ht="52.8" x14ac:dyDescent="0.25">
      <c r="A73" s="12">
        <v>71</v>
      </c>
      <c r="B73" s="12" t="str">
        <f>_xlfn.CONCAT("S", Table1[[#This Row],[No]])</f>
        <v>S71</v>
      </c>
      <c r="C73" s="12" t="s">
        <v>507</v>
      </c>
      <c r="D73" s="13" t="s">
        <v>732</v>
      </c>
      <c r="E73" s="12" t="s">
        <v>506</v>
      </c>
      <c r="F73" s="12" t="s">
        <v>508</v>
      </c>
      <c r="G73" s="13">
        <v>2009</v>
      </c>
      <c r="H73" s="13" t="b">
        <v>1</v>
      </c>
      <c r="I73" s="13" t="b">
        <v>1</v>
      </c>
      <c r="J73" s="13" t="b">
        <v>0</v>
      </c>
      <c r="K73" s="13" t="b">
        <v>0</v>
      </c>
      <c r="L73" s="13" t="b">
        <v>0</v>
      </c>
      <c r="M73" s="13" t="b">
        <v>0</v>
      </c>
      <c r="N73" s="17"/>
      <c r="O73" s="1" t="s">
        <v>509</v>
      </c>
      <c r="P73" s="1"/>
      <c r="Q73" s="13" t="b">
        <v>1</v>
      </c>
      <c r="R73" s="13" t="b">
        <v>1</v>
      </c>
      <c r="S73" s="13" t="b">
        <v>1</v>
      </c>
      <c r="T73" s="13" t="s">
        <v>730</v>
      </c>
      <c r="U73" s="12" t="s">
        <v>511</v>
      </c>
      <c r="V73" s="15" t="s">
        <v>510</v>
      </c>
      <c r="W73" s="29">
        <v>3</v>
      </c>
      <c r="X73" s="13">
        <v>1</v>
      </c>
      <c r="Y73" s="16" t="s">
        <v>512</v>
      </c>
      <c r="Z73" s="12" t="s">
        <v>59</v>
      </c>
      <c r="AA73" s="13" t="s">
        <v>736</v>
      </c>
      <c r="AB73" s="13" t="s">
        <v>739</v>
      </c>
      <c r="AC73" s="12" t="s">
        <v>873</v>
      </c>
      <c r="AD73" s="12" t="s">
        <v>943</v>
      </c>
      <c r="AE73" s="13" t="s">
        <v>758</v>
      </c>
      <c r="AF73" s="12"/>
      <c r="AG73" s="12" t="s">
        <v>312</v>
      </c>
      <c r="AH73" s="12" t="s">
        <v>823</v>
      </c>
    </row>
    <row r="74" spans="1:34" ht="92.4" hidden="1" x14ac:dyDescent="0.25">
      <c r="A74" s="12">
        <v>72</v>
      </c>
      <c r="B74" s="12" t="str">
        <f>_xlfn.CONCAT("S", Table1[[#This Row],[No]])</f>
        <v>S72</v>
      </c>
      <c r="C74" s="12" t="s">
        <v>514</v>
      </c>
      <c r="D74" s="13" t="s">
        <v>734</v>
      </c>
      <c r="E74" s="12" t="s">
        <v>513</v>
      </c>
      <c r="F74" s="12" t="s">
        <v>515</v>
      </c>
      <c r="G74" s="13">
        <v>2021</v>
      </c>
      <c r="H74" s="13" t="b">
        <v>0</v>
      </c>
      <c r="I74" s="13" t="b">
        <v>1</v>
      </c>
      <c r="J74" s="13" t="b">
        <v>0</v>
      </c>
      <c r="K74" s="13" t="b">
        <v>0</v>
      </c>
      <c r="L74" s="13" t="b">
        <v>0</v>
      </c>
      <c r="M74" s="13" t="b">
        <v>0</v>
      </c>
      <c r="N74" s="17" t="s">
        <v>517</v>
      </c>
      <c r="O74" s="1" t="s">
        <v>516</v>
      </c>
      <c r="P74" s="17"/>
      <c r="Q74" s="13" t="b">
        <v>1</v>
      </c>
      <c r="R74" s="13" t="b">
        <v>1</v>
      </c>
      <c r="S74" s="13" t="b">
        <v>1</v>
      </c>
      <c r="T74" s="13" t="s">
        <v>730</v>
      </c>
      <c r="U74" s="12" t="s">
        <v>518</v>
      </c>
      <c r="V74" s="15" t="s">
        <v>519</v>
      </c>
      <c r="W74" s="29"/>
      <c r="X74" s="13"/>
      <c r="Y74" s="16" t="s">
        <v>520</v>
      </c>
      <c r="Z74" s="12" t="s">
        <v>59</v>
      </c>
      <c r="AA74" s="13" t="s">
        <v>731</v>
      </c>
      <c r="AB74" s="13" t="s">
        <v>886</v>
      </c>
      <c r="AC74" s="12" t="s">
        <v>919</v>
      </c>
      <c r="AD74" s="12" t="s">
        <v>947</v>
      </c>
      <c r="AE74" s="13" t="s">
        <v>758</v>
      </c>
      <c r="AF74" s="12"/>
      <c r="AG74" s="12" t="s">
        <v>312</v>
      </c>
      <c r="AH74" s="12" t="s">
        <v>955</v>
      </c>
    </row>
    <row r="75" spans="1:34" ht="79.2" hidden="1" customHeight="1" x14ac:dyDescent="0.25">
      <c r="A75" s="12">
        <v>73</v>
      </c>
      <c r="B75" s="12" t="str">
        <f>_xlfn.CONCAT("S", Table1[[#This Row],[No]])</f>
        <v>S73</v>
      </c>
      <c r="C75" s="12" t="s">
        <v>522</v>
      </c>
      <c r="D75" s="13" t="s">
        <v>734</v>
      </c>
      <c r="E75" s="12" t="s">
        <v>521</v>
      </c>
      <c r="F75" s="12" t="s">
        <v>526</v>
      </c>
      <c r="G75" s="13">
        <v>2010</v>
      </c>
      <c r="H75" s="13" t="b">
        <v>0</v>
      </c>
      <c r="I75" s="13" t="b">
        <v>1</v>
      </c>
      <c r="J75" s="13" t="b">
        <v>0</v>
      </c>
      <c r="K75" s="13" t="b">
        <v>0</v>
      </c>
      <c r="L75" s="13" t="b">
        <v>0</v>
      </c>
      <c r="M75" s="13" t="b">
        <v>0</v>
      </c>
      <c r="N75" s="17" t="s">
        <v>523</v>
      </c>
      <c r="O75" s="17"/>
      <c r="P75" s="1" t="s">
        <v>525</v>
      </c>
      <c r="Q75" s="13" t="b">
        <v>1</v>
      </c>
      <c r="R75" s="13" t="b">
        <v>1</v>
      </c>
      <c r="S75" s="13" t="b">
        <v>0</v>
      </c>
      <c r="T75" s="13" t="s">
        <v>808</v>
      </c>
      <c r="U75" s="12"/>
      <c r="V75" s="15"/>
      <c r="W75" s="29"/>
      <c r="X75" s="13"/>
      <c r="Y75" s="16"/>
      <c r="Z75" s="12" t="s">
        <v>524</v>
      </c>
      <c r="AA75" s="13" t="s">
        <v>736</v>
      </c>
      <c r="AB75" s="13" t="s">
        <v>856</v>
      </c>
      <c r="AC75" s="12"/>
      <c r="AD75" s="12"/>
      <c r="AE75" s="13" t="s">
        <v>760</v>
      </c>
      <c r="AF75" s="12" t="s">
        <v>801</v>
      </c>
      <c r="AG75" s="12" t="s">
        <v>312</v>
      </c>
      <c r="AH75" s="12" t="s">
        <v>824</v>
      </c>
    </row>
    <row r="76" spans="1:34" ht="79.2" hidden="1" customHeight="1" x14ac:dyDescent="0.25">
      <c r="A76" s="12">
        <v>74</v>
      </c>
      <c r="B76" s="12" t="str">
        <f>_xlfn.CONCAT("S", Table1[[#This Row],[No]])</f>
        <v>S74</v>
      </c>
      <c r="C76" s="12" t="s">
        <v>528</v>
      </c>
      <c r="D76" s="13" t="s">
        <v>734</v>
      </c>
      <c r="E76" s="12" t="s">
        <v>527</v>
      </c>
      <c r="F76" s="12" t="s">
        <v>529</v>
      </c>
      <c r="G76" s="13">
        <v>2009</v>
      </c>
      <c r="H76" s="13" t="b">
        <v>0</v>
      </c>
      <c r="I76" s="13" t="b">
        <v>1</v>
      </c>
      <c r="J76" s="13" t="b">
        <v>0</v>
      </c>
      <c r="K76" s="13" t="b">
        <v>0</v>
      </c>
      <c r="L76" s="13" t="b">
        <v>0</v>
      </c>
      <c r="M76" s="13" t="b">
        <v>0</v>
      </c>
      <c r="N76" s="17"/>
      <c r="O76" s="17"/>
      <c r="P76" s="1" t="s">
        <v>530</v>
      </c>
      <c r="Q76" s="13" t="b">
        <v>1</v>
      </c>
      <c r="R76" s="13" t="b">
        <v>1</v>
      </c>
      <c r="S76" s="13" t="b">
        <v>0</v>
      </c>
      <c r="T76" s="13" t="s">
        <v>733</v>
      </c>
      <c r="U76" s="12"/>
      <c r="V76" s="15"/>
      <c r="W76" s="29"/>
      <c r="X76" s="13"/>
      <c r="Y76" s="16"/>
      <c r="Z76" s="17" t="s">
        <v>531</v>
      </c>
      <c r="AA76" s="13" t="s">
        <v>731</v>
      </c>
      <c r="AB76" s="13" t="s">
        <v>856</v>
      </c>
      <c r="AC76" s="12"/>
      <c r="AD76" s="12"/>
      <c r="AE76" s="13" t="s">
        <v>760</v>
      </c>
      <c r="AF76" s="12" t="s">
        <v>825</v>
      </c>
      <c r="AG76" s="12" t="s">
        <v>312</v>
      </c>
      <c r="AH76" s="12" t="s">
        <v>920</v>
      </c>
    </row>
    <row r="77" spans="1:34" ht="67.8" customHeight="1" x14ac:dyDescent="0.25">
      <c r="A77" s="12">
        <v>75</v>
      </c>
      <c r="B77" s="12" t="str">
        <f>_xlfn.CONCAT("S", Table1[[#This Row],[No]])</f>
        <v>S75</v>
      </c>
      <c r="C77" s="12" t="s">
        <v>532</v>
      </c>
      <c r="D77" s="13" t="s">
        <v>732</v>
      </c>
      <c r="E77" s="12" t="s">
        <v>536</v>
      </c>
      <c r="F77" s="12" t="s">
        <v>533</v>
      </c>
      <c r="G77" s="13">
        <v>2017</v>
      </c>
      <c r="H77" s="13" t="b">
        <v>1</v>
      </c>
      <c r="I77" s="13" t="b">
        <v>1</v>
      </c>
      <c r="J77" s="13" t="b">
        <v>0</v>
      </c>
      <c r="K77" s="13" t="b">
        <v>0</v>
      </c>
      <c r="L77" s="13" t="b">
        <v>0</v>
      </c>
      <c r="M77" s="13" t="b">
        <v>0</v>
      </c>
      <c r="N77" s="17"/>
      <c r="O77" s="17"/>
      <c r="P77" s="1" t="s">
        <v>534</v>
      </c>
      <c r="Q77" s="13" t="b">
        <v>1</v>
      </c>
      <c r="R77" s="13" t="b">
        <v>1</v>
      </c>
      <c r="S77" s="13" t="b">
        <v>1</v>
      </c>
      <c r="T77" s="13" t="s">
        <v>730</v>
      </c>
      <c r="U77" s="12" t="s">
        <v>535</v>
      </c>
      <c r="V77" s="15"/>
      <c r="W77" s="29"/>
      <c r="X77" s="13"/>
      <c r="Y77" s="16"/>
      <c r="Z77" s="17" t="s">
        <v>63</v>
      </c>
      <c r="AA77" s="13" t="s">
        <v>731</v>
      </c>
      <c r="AB77" s="13" t="s">
        <v>785</v>
      </c>
      <c r="AC77" s="12"/>
      <c r="AD77" s="12" t="s">
        <v>943</v>
      </c>
      <c r="AE77" s="13" t="s">
        <v>812</v>
      </c>
      <c r="AF77" s="12"/>
      <c r="AG77" s="12" t="s">
        <v>312</v>
      </c>
      <c r="AH77" s="12" t="s">
        <v>826</v>
      </c>
    </row>
    <row r="78" spans="1:34" ht="118.8" hidden="1" x14ac:dyDescent="0.25">
      <c r="A78" s="12">
        <v>76</v>
      </c>
      <c r="B78" s="12" t="str">
        <f>_xlfn.CONCAT("S", Table1[[#This Row],[No]])</f>
        <v>S76</v>
      </c>
      <c r="C78" s="12" t="s">
        <v>538</v>
      </c>
      <c r="D78" s="13" t="s">
        <v>734</v>
      </c>
      <c r="E78" s="12" t="s">
        <v>537</v>
      </c>
      <c r="F78" s="12" t="s">
        <v>539</v>
      </c>
      <c r="G78" s="13">
        <v>2024</v>
      </c>
      <c r="H78" s="13" t="b">
        <v>0</v>
      </c>
      <c r="I78" s="13" t="b">
        <v>1</v>
      </c>
      <c r="J78" s="13" t="b">
        <v>0</v>
      </c>
      <c r="K78" s="13" t="b">
        <v>0</v>
      </c>
      <c r="L78" s="13" t="b">
        <v>0</v>
      </c>
      <c r="M78" s="13" t="b">
        <v>0</v>
      </c>
      <c r="N78" s="17"/>
      <c r="O78" s="1" t="s">
        <v>542</v>
      </c>
      <c r="P78" s="1" t="s">
        <v>540</v>
      </c>
      <c r="Q78" s="13" t="b">
        <v>1</v>
      </c>
      <c r="R78" s="13" t="b">
        <v>1</v>
      </c>
      <c r="S78" s="13" t="b">
        <v>1</v>
      </c>
      <c r="T78" s="13" t="s">
        <v>766</v>
      </c>
      <c r="U78" s="12" t="s">
        <v>541</v>
      </c>
      <c r="V78" s="15" t="s">
        <v>47</v>
      </c>
      <c r="W78" s="29">
        <v>34</v>
      </c>
      <c r="X78" s="13">
        <v>1</v>
      </c>
      <c r="Y78" s="16" t="s">
        <v>543</v>
      </c>
      <c r="Z78" s="17" t="s">
        <v>544</v>
      </c>
      <c r="AA78" s="13" t="s">
        <v>744</v>
      </c>
      <c r="AB78" s="13" t="s">
        <v>739</v>
      </c>
      <c r="AC78" s="12"/>
      <c r="AD78" s="12" t="s">
        <v>947</v>
      </c>
      <c r="AE78" s="13" t="s">
        <v>854</v>
      </c>
      <c r="AF78" s="12"/>
      <c r="AG78" s="12" t="s">
        <v>312</v>
      </c>
      <c r="AH78" s="12" t="s">
        <v>921</v>
      </c>
    </row>
    <row r="79" spans="1:34" ht="52.8" hidden="1" x14ac:dyDescent="0.25">
      <c r="A79" s="12">
        <v>77</v>
      </c>
      <c r="B79" s="12" t="str">
        <f>_xlfn.CONCAT("S", Table1[[#This Row],[No]])</f>
        <v>S77</v>
      </c>
      <c r="C79" s="12" t="s">
        <v>546</v>
      </c>
      <c r="D79" s="13" t="s">
        <v>734</v>
      </c>
      <c r="E79" s="12" t="s">
        <v>545</v>
      </c>
      <c r="F79" s="12" t="s">
        <v>214</v>
      </c>
      <c r="G79" s="13">
        <v>2014</v>
      </c>
      <c r="H79" s="13" t="b">
        <v>0</v>
      </c>
      <c r="I79" s="13" t="b">
        <v>1</v>
      </c>
      <c r="J79" s="13" t="b">
        <v>0</v>
      </c>
      <c r="K79" s="13" t="b">
        <v>0</v>
      </c>
      <c r="L79" s="13" t="b">
        <v>0</v>
      </c>
      <c r="M79" s="13" t="b">
        <v>0</v>
      </c>
      <c r="N79" s="17"/>
      <c r="O79" s="17"/>
      <c r="P79" s="17"/>
      <c r="Q79" s="13" t="b">
        <v>1</v>
      </c>
      <c r="R79" s="13" t="b">
        <v>1</v>
      </c>
      <c r="S79" s="13" t="b">
        <v>1</v>
      </c>
      <c r="T79" s="13" t="s">
        <v>733</v>
      </c>
      <c r="U79" s="12" t="s">
        <v>548</v>
      </c>
      <c r="V79" s="15"/>
      <c r="W79" s="29"/>
      <c r="X79" s="13"/>
      <c r="Y79" s="16" t="s">
        <v>547</v>
      </c>
      <c r="Z79" s="17" t="s">
        <v>548</v>
      </c>
      <c r="AA79" s="13" t="s">
        <v>791</v>
      </c>
      <c r="AB79" s="13" t="s">
        <v>739</v>
      </c>
      <c r="AC79" s="12" t="s">
        <v>883</v>
      </c>
      <c r="AD79" s="12" t="s">
        <v>947</v>
      </c>
      <c r="AE79" s="13" t="s">
        <v>871</v>
      </c>
      <c r="AF79" s="12"/>
      <c r="AG79" s="12" t="s">
        <v>312</v>
      </c>
      <c r="AH79" s="12" t="s">
        <v>922</v>
      </c>
    </row>
    <row r="80" spans="1:34" ht="132" hidden="1" customHeight="1" x14ac:dyDescent="0.25">
      <c r="A80" s="12">
        <v>78</v>
      </c>
      <c r="B80" s="12" t="str">
        <f>_xlfn.CONCAT("S", Table1[[#This Row],[No]])</f>
        <v>S78</v>
      </c>
      <c r="C80" s="12" t="s">
        <v>550</v>
      </c>
      <c r="D80" s="13" t="s">
        <v>734</v>
      </c>
      <c r="E80" s="12" t="s">
        <v>549</v>
      </c>
      <c r="F80" s="12" t="s">
        <v>551</v>
      </c>
      <c r="G80" s="13">
        <v>2023</v>
      </c>
      <c r="H80" s="13" t="b">
        <v>0</v>
      </c>
      <c r="I80" s="13" t="b">
        <v>1</v>
      </c>
      <c r="J80" s="13" t="b">
        <v>0</v>
      </c>
      <c r="K80" s="13" t="b">
        <v>0</v>
      </c>
      <c r="L80" s="13" t="b">
        <v>0</v>
      </c>
      <c r="M80" s="13" t="b">
        <v>0</v>
      </c>
      <c r="N80" s="17"/>
      <c r="O80" s="1" t="s">
        <v>552</v>
      </c>
      <c r="P80" s="17"/>
      <c r="Q80" s="13" t="b">
        <v>1</v>
      </c>
      <c r="R80" s="13" t="b">
        <v>1</v>
      </c>
      <c r="S80" s="13" t="b">
        <v>0</v>
      </c>
      <c r="T80" s="13" t="s">
        <v>733</v>
      </c>
      <c r="U80" s="12"/>
      <c r="V80" s="15"/>
      <c r="W80" s="29"/>
      <c r="X80" s="13"/>
      <c r="Y80" s="16"/>
      <c r="Z80" s="17" t="s">
        <v>63</v>
      </c>
      <c r="AA80" s="13" t="s">
        <v>736</v>
      </c>
      <c r="AB80" s="13" t="s">
        <v>856</v>
      </c>
      <c r="AC80" s="12"/>
      <c r="AD80" s="12"/>
      <c r="AE80" s="13" t="s">
        <v>897</v>
      </c>
      <c r="AF80" s="12"/>
      <c r="AG80" s="12" t="s">
        <v>312</v>
      </c>
      <c r="AH80" s="12" t="s">
        <v>827</v>
      </c>
    </row>
    <row r="81" spans="1:34" ht="92.4" hidden="1" x14ac:dyDescent="0.25">
      <c r="A81" s="12">
        <v>79</v>
      </c>
      <c r="B81" s="12" t="str">
        <f>_xlfn.CONCAT("S", Table1[[#This Row],[No]])</f>
        <v>S79</v>
      </c>
      <c r="C81" s="12" t="s">
        <v>553</v>
      </c>
      <c r="D81" s="13" t="s">
        <v>734</v>
      </c>
      <c r="E81" s="12" t="s">
        <v>560</v>
      </c>
      <c r="F81" s="12" t="s">
        <v>554</v>
      </c>
      <c r="G81" s="13">
        <v>2019</v>
      </c>
      <c r="H81" s="13" t="b">
        <v>0</v>
      </c>
      <c r="I81" s="13" t="b">
        <v>1</v>
      </c>
      <c r="J81" s="13" t="b">
        <v>0</v>
      </c>
      <c r="K81" s="13" t="b">
        <v>0</v>
      </c>
      <c r="L81" s="13" t="b">
        <v>0</v>
      </c>
      <c r="M81" s="13" t="b">
        <v>0</v>
      </c>
      <c r="N81" s="17"/>
      <c r="O81" s="1" t="s">
        <v>556</v>
      </c>
      <c r="P81" s="1" t="s">
        <v>555</v>
      </c>
      <c r="Q81" s="13" t="b">
        <v>1</v>
      </c>
      <c r="R81" s="13" t="b">
        <v>1</v>
      </c>
      <c r="S81" s="13" t="b">
        <v>1</v>
      </c>
      <c r="T81" s="13" t="s">
        <v>730</v>
      </c>
      <c r="U81" s="12" t="s">
        <v>828</v>
      </c>
      <c r="V81" s="15" t="s">
        <v>558</v>
      </c>
      <c r="W81" s="29" t="s">
        <v>559</v>
      </c>
      <c r="X81" s="13"/>
      <c r="Y81" s="16" t="s">
        <v>557</v>
      </c>
      <c r="Z81" s="17" t="s">
        <v>59</v>
      </c>
      <c r="AA81" s="13" t="s">
        <v>791</v>
      </c>
      <c r="AB81" s="13" t="s">
        <v>739</v>
      </c>
      <c r="AC81" s="12" t="s">
        <v>872</v>
      </c>
      <c r="AD81" s="12" t="s">
        <v>947</v>
      </c>
      <c r="AE81" s="13" t="s">
        <v>760</v>
      </c>
      <c r="AF81" s="12" t="s">
        <v>830</v>
      </c>
      <c r="AG81" s="12" t="s">
        <v>312</v>
      </c>
      <c r="AH81" s="12" t="s">
        <v>923</v>
      </c>
    </row>
    <row r="82" spans="1:34" ht="66" hidden="1" customHeight="1" x14ac:dyDescent="0.25">
      <c r="A82" s="12">
        <v>80</v>
      </c>
      <c r="B82" s="12" t="str">
        <f>_xlfn.CONCAT("S", Table1[[#This Row],[No]])</f>
        <v>S80</v>
      </c>
      <c r="C82" s="12" t="s">
        <v>562</v>
      </c>
      <c r="D82" s="13" t="s">
        <v>734</v>
      </c>
      <c r="E82" s="12" t="s">
        <v>561</v>
      </c>
      <c r="F82" s="12" t="s">
        <v>563</v>
      </c>
      <c r="G82" s="13">
        <v>2016</v>
      </c>
      <c r="H82" s="13" t="b">
        <v>0</v>
      </c>
      <c r="I82" s="13" t="b">
        <v>1</v>
      </c>
      <c r="J82" s="13" t="b">
        <v>0</v>
      </c>
      <c r="K82" s="13" t="b">
        <v>0</v>
      </c>
      <c r="L82" s="13" t="b">
        <v>0</v>
      </c>
      <c r="M82" s="13" t="b">
        <v>0</v>
      </c>
      <c r="N82" s="17" t="s">
        <v>567</v>
      </c>
      <c r="O82" s="1" t="s">
        <v>564</v>
      </c>
      <c r="P82" s="17"/>
      <c r="Q82" s="13" t="b">
        <v>1</v>
      </c>
      <c r="R82" s="13" t="b">
        <v>1</v>
      </c>
      <c r="S82" s="13" t="b">
        <v>0</v>
      </c>
      <c r="T82" s="13" t="s">
        <v>743</v>
      </c>
      <c r="U82" s="12" t="s">
        <v>831</v>
      </c>
      <c r="V82" s="15"/>
      <c r="W82" s="13" t="s">
        <v>565</v>
      </c>
      <c r="X82" s="13"/>
      <c r="Y82" s="16" t="s">
        <v>566</v>
      </c>
      <c r="Z82" s="17" t="s">
        <v>59</v>
      </c>
      <c r="AA82" s="13" t="s">
        <v>731</v>
      </c>
      <c r="AB82" s="13" t="s">
        <v>856</v>
      </c>
      <c r="AC82" s="12"/>
      <c r="AD82" s="12"/>
      <c r="AE82" s="13" t="s">
        <v>760</v>
      </c>
      <c r="AF82" s="12" t="s">
        <v>794</v>
      </c>
      <c r="AG82" s="12" t="s">
        <v>312</v>
      </c>
      <c r="AH82" s="12" t="s">
        <v>832</v>
      </c>
    </row>
    <row r="83" spans="1:34" ht="39.6" hidden="1" x14ac:dyDescent="0.25">
      <c r="A83" s="12">
        <v>81</v>
      </c>
      <c r="B83" s="12" t="str">
        <f>_xlfn.CONCAT("S", Table1[[#This Row],[No]])</f>
        <v>S81</v>
      </c>
      <c r="C83" s="12" t="s">
        <v>569</v>
      </c>
      <c r="D83" s="13" t="s">
        <v>734</v>
      </c>
      <c r="E83" s="12" t="s">
        <v>568</v>
      </c>
      <c r="F83" s="17" t="s">
        <v>571</v>
      </c>
      <c r="G83" s="13">
        <v>2024</v>
      </c>
      <c r="H83" s="13" t="b">
        <v>0</v>
      </c>
      <c r="I83" s="13" t="b">
        <v>1</v>
      </c>
      <c r="J83" s="13" t="b">
        <v>0</v>
      </c>
      <c r="K83" s="13" t="b">
        <v>0</v>
      </c>
      <c r="L83" s="13" t="b">
        <v>0</v>
      </c>
      <c r="M83" s="13" t="b">
        <v>0</v>
      </c>
      <c r="N83" s="17" t="s">
        <v>574</v>
      </c>
      <c r="O83" s="1" t="s">
        <v>570</v>
      </c>
      <c r="P83" s="17"/>
      <c r="Q83" s="13" t="b">
        <v>1</v>
      </c>
      <c r="R83" s="13" t="b">
        <v>1</v>
      </c>
      <c r="S83" s="13" t="b">
        <v>1</v>
      </c>
      <c r="T83" s="13" t="s">
        <v>730</v>
      </c>
      <c r="U83" s="12" t="s">
        <v>44</v>
      </c>
      <c r="V83" s="15" t="s">
        <v>572</v>
      </c>
      <c r="W83" s="29">
        <v>155</v>
      </c>
      <c r="X83" s="13"/>
      <c r="Y83" s="16" t="s">
        <v>573</v>
      </c>
      <c r="Z83" s="17" t="s">
        <v>29</v>
      </c>
      <c r="AA83" s="13" t="s">
        <v>744</v>
      </c>
      <c r="AB83" s="13" t="s">
        <v>759</v>
      </c>
      <c r="AC83" s="12"/>
      <c r="AD83" s="12" t="s">
        <v>947</v>
      </c>
      <c r="AE83" s="13" t="s">
        <v>859</v>
      </c>
      <c r="AF83" s="12"/>
      <c r="AG83" s="12" t="s">
        <v>312</v>
      </c>
      <c r="AH83" s="12" t="s">
        <v>924</v>
      </c>
    </row>
    <row r="84" spans="1:34" ht="96.6" customHeight="1" x14ac:dyDescent="0.25">
      <c r="A84" s="12">
        <v>82</v>
      </c>
      <c r="B84" s="12" t="str">
        <f>_xlfn.CONCAT("S", Table1[[#This Row],[No]])</f>
        <v>S82</v>
      </c>
      <c r="C84" s="12" t="s">
        <v>576</v>
      </c>
      <c r="D84" s="13" t="s">
        <v>732</v>
      </c>
      <c r="E84" s="12" t="s">
        <v>575</v>
      </c>
      <c r="F84" s="12" t="s">
        <v>578</v>
      </c>
      <c r="G84" s="13">
        <v>2008</v>
      </c>
      <c r="H84" s="13" t="b">
        <v>1</v>
      </c>
      <c r="I84" s="13" t="b">
        <v>1</v>
      </c>
      <c r="J84" s="13" t="b">
        <v>0</v>
      </c>
      <c r="K84" s="13" t="b">
        <v>0</v>
      </c>
      <c r="L84" s="13" t="b">
        <v>0</v>
      </c>
      <c r="M84" s="13" t="b">
        <v>0</v>
      </c>
      <c r="N84" s="17" t="s">
        <v>577</v>
      </c>
      <c r="O84" s="1" t="s">
        <v>579</v>
      </c>
      <c r="P84" s="17"/>
      <c r="Q84" s="13" t="b">
        <v>1</v>
      </c>
      <c r="R84" s="13" t="b">
        <v>1</v>
      </c>
      <c r="S84" s="13" t="b">
        <v>1</v>
      </c>
      <c r="T84" s="13" t="s">
        <v>733</v>
      </c>
      <c r="U84" s="12" t="s">
        <v>580</v>
      </c>
      <c r="V84" s="15" t="s">
        <v>581</v>
      </c>
      <c r="W84" s="29"/>
      <c r="X84" s="13"/>
      <c r="Y84" s="16" t="s">
        <v>582</v>
      </c>
      <c r="Z84" s="17" t="s">
        <v>63</v>
      </c>
      <c r="AA84" s="13" t="s">
        <v>737</v>
      </c>
      <c r="AB84" s="13" t="s">
        <v>767</v>
      </c>
      <c r="AC84" s="12" t="s">
        <v>925</v>
      </c>
      <c r="AD84" s="12" t="s">
        <v>943</v>
      </c>
      <c r="AE84" s="13" t="s">
        <v>854</v>
      </c>
      <c r="AF84" s="12"/>
      <c r="AG84" s="12" t="s">
        <v>312</v>
      </c>
      <c r="AH84" s="12" t="s">
        <v>956</v>
      </c>
    </row>
    <row r="85" spans="1:34" ht="66" x14ac:dyDescent="0.25">
      <c r="A85" s="12">
        <v>83</v>
      </c>
      <c r="B85" s="12" t="str">
        <f>_xlfn.CONCAT("S", Table1[[#This Row],[No]])</f>
        <v>S83</v>
      </c>
      <c r="C85" s="12" t="s">
        <v>584</v>
      </c>
      <c r="D85" s="13" t="s">
        <v>732</v>
      </c>
      <c r="E85" s="12" t="s">
        <v>583</v>
      </c>
      <c r="F85" s="12" t="s">
        <v>585</v>
      </c>
      <c r="G85" s="13">
        <v>2024</v>
      </c>
      <c r="H85" s="13" t="b">
        <v>1</v>
      </c>
      <c r="I85" s="13" t="b">
        <v>1</v>
      </c>
      <c r="J85" s="13" t="b">
        <v>0</v>
      </c>
      <c r="K85" s="13" t="b">
        <v>0</v>
      </c>
      <c r="L85" s="13" t="b">
        <v>0</v>
      </c>
      <c r="M85" s="13" t="b">
        <v>0</v>
      </c>
      <c r="N85" s="17" t="s">
        <v>589</v>
      </c>
      <c r="O85" s="1" t="s">
        <v>586</v>
      </c>
      <c r="P85" s="17"/>
      <c r="Q85" s="13" t="b">
        <v>1</v>
      </c>
      <c r="R85" s="13" t="b">
        <v>1</v>
      </c>
      <c r="S85" s="13" t="b">
        <v>1</v>
      </c>
      <c r="T85" s="13" t="s">
        <v>730</v>
      </c>
      <c r="U85" s="12" t="s">
        <v>587</v>
      </c>
      <c r="V85" s="15" t="s">
        <v>588</v>
      </c>
      <c r="W85" s="29">
        <v>194</v>
      </c>
      <c r="X85" s="13"/>
      <c r="Y85" s="16"/>
      <c r="Z85" s="17" t="s">
        <v>29</v>
      </c>
      <c r="AA85" s="13" t="s">
        <v>731</v>
      </c>
      <c r="AB85" s="13" t="s">
        <v>739</v>
      </c>
      <c r="AC85" s="12" t="s">
        <v>892</v>
      </c>
      <c r="AD85" s="12" t="s">
        <v>943</v>
      </c>
      <c r="AE85" s="13" t="s">
        <v>854</v>
      </c>
      <c r="AF85" s="12"/>
      <c r="AG85" s="12" t="s">
        <v>312</v>
      </c>
      <c r="AH85" s="12" t="s">
        <v>926</v>
      </c>
    </row>
    <row r="86" spans="1:34" ht="79.2" hidden="1" customHeight="1" x14ac:dyDescent="0.25">
      <c r="A86" s="12">
        <v>84</v>
      </c>
      <c r="B86" s="12" t="str">
        <f>_xlfn.CONCAT("S", Table1[[#This Row],[No]])</f>
        <v>S84</v>
      </c>
      <c r="C86" s="12" t="s">
        <v>591</v>
      </c>
      <c r="D86" s="13" t="s">
        <v>734</v>
      </c>
      <c r="E86" s="12" t="s">
        <v>590</v>
      </c>
      <c r="F86" s="12" t="s">
        <v>592</v>
      </c>
      <c r="G86" s="13">
        <v>2019</v>
      </c>
      <c r="H86" s="13" t="b">
        <v>0</v>
      </c>
      <c r="I86" s="13" t="b">
        <v>1</v>
      </c>
      <c r="J86" s="13" t="b">
        <v>0</v>
      </c>
      <c r="K86" s="13" t="b">
        <v>0</v>
      </c>
      <c r="L86" s="13" t="b">
        <v>0</v>
      </c>
      <c r="M86" s="13" t="b">
        <v>0</v>
      </c>
      <c r="N86" s="17" t="s">
        <v>574</v>
      </c>
      <c r="O86" s="1" t="s">
        <v>595</v>
      </c>
      <c r="P86" s="17"/>
      <c r="Q86" s="13" t="b">
        <v>1</v>
      </c>
      <c r="R86" s="13" t="b">
        <v>1</v>
      </c>
      <c r="S86" s="13" t="b">
        <v>0</v>
      </c>
      <c r="T86" s="13" t="s">
        <v>730</v>
      </c>
      <c r="U86" s="12" t="s">
        <v>44</v>
      </c>
      <c r="V86" s="15" t="s">
        <v>593</v>
      </c>
      <c r="W86" s="29">
        <v>99</v>
      </c>
      <c r="X86" s="13"/>
      <c r="Y86" s="16" t="s">
        <v>594</v>
      </c>
      <c r="Z86" s="17" t="s">
        <v>29</v>
      </c>
      <c r="AA86" s="13" t="s">
        <v>737</v>
      </c>
      <c r="AB86" s="13" t="s">
        <v>856</v>
      </c>
      <c r="AC86" s="12"/>
      <c r="AD86" s="12"/>
      <c r="AE86" s="13" t="s">
        <v>812</v>
      </c>
      <c r="AF86" s="12"/>
      <c r="AG86" s="12" t="s">
        <v>312</v>
      </c>
      <c r="AH86" s="12" t="s">
        <v>833</v>
      </c>
    </row>
    <row r="87" spans="1:34" ht="79.2" x14ac:dyDescent="0.25">
      <c r="A87" s="12">
        <v>85</v>
      </c>
      <c r="B87" s="12" t="str">
        <f>_xlfn.CONCAT("S", Table1[[#This Row],[No]])</f>
        <v>S85</v>
      </c>
      <c r="C87" s="12" t="s">
        <v>597</v>
      </c>
      <c r="D87" s="13" t="s">
        <v>732</v>
      </c>
      <c r="E87" s="12" t="s">
        <v>596</v>
      </c>
      <c r="F87" s="12" t="s">
        <v>598</v>
      </c>
      <c r="G87" s="13">
        <v>2024</v>
      </c>
      <c r="H87" s="13" t="b">
        <v>1</v>
      </c>
      <c r="I87" s="13" t="b">
        <v>1</v>
      </c>
      <c r="J87" s="13" t="b">
        <v>0</v>
      </c>
      <c r="K87" s="13" t="b">
        <v>0</v>
      </c>
      <c r="L87" s="13" t="b">
        <v>0</v>
      </c>
      <c r="M87" s="13" t="b">
        <v>0</v>
      </c>
      <c r="N87" s="17" t="s">
        <v>604</v>
      </c>
      <c r="O87" s="1" t="s">
        <v>603</v>
      </c>
      <c r="P87" s="1" t="s">
        <v>602</v>
      </c>
      <c r="Q87" s="13" t="b">
        <v>1</v>
      </c>
      <c r="R87" s="13" t="b">
        <v>1</v>
      </c>
      <c r="S87" s="13" t="b">
        <v>1</v>
      </c>
      <c r="T87" s="13" t="s">
        <v>730</v>
      </c>
      <c r="U87" s="12" t="s">
        <v>599</v>
      </c>
      <c r="V87" s="15" t="s">
        <v>47</v>
      </c>
      <c r="W87" s="29">
        <v>14</v>
      </c>
      <c r="X87" s="13">
        <v>5</v>
      </c>
      <c r="Y87" s="16" t="s">
        <v>600</v>
      </c>
      <c r="Z87" s="12" t="s">
        <v>601</v>
      </c>
      <c r="AA87" s="13" t="s">
        <v>731</v>
      </c>
      <c r="AB87" s="13" t="s">
        <v>860</v>
      </c>
      <c r="AC87" s="12" t="s">
        <v>927</v>
      </c>
      <c r="AD87" s="12" t="s">
        <v>943</v>
      </c>
      <c r="AE87" s="13" t="s">
        <v>871</v>
      </c>
      <c r="AF87" s="12"/>
      <c r="AG87" s="12" t="s">
        <v>312</v>
      </c>
      <c r="AH87" s="12" t="s">
        <v>928</v>
      </c>
    </row>
    <row r="88" spans="1:34" ht="66" hidden="1" customHeight="1" x14ac:dyDescent="0.25">
      <c r="A88" s="12">
        <v>86</v>
      </c>
      <c r="B88" s="12" t="str">
        <f>_xlfn.CONCAT("S", Table1[[#This Row],[No]])</f>
        <v>S86</v>
      </c>
      <c r="C88" s="12" t="s">
        <v>606</v>
      </c>
      <c r="D88" s="13" t="s">
        <v>734</v>
      </c>
      <c r="E88" s="12" t="s">
        <v>605</v>
      </c>
      <c r="F88" s="12" t="s">
        <v>608</v>
      </c>
      <c r="G88" s="13">
        <v>2024</v>
      </c>
      <c r="H88" s="13" t="b">
        <v>0</v>
      </c>
      <c r="I88" s="13" t="b">
        <v>1</v>
      </c>
      <c r="J88" s="13" t="b">
        <v>0</v>
      </c>
      <c r="K88" s="13" t="b">
        <v>0</v>
      </c>
      <c r="L88" s="13" t="b">
        <v>0</v>
      </c>
      <c r="M88" s="13" t="b">
        <v>0</v>
      </c>
      <c r="N88" s="17" t="s">
        <v>610</v>
      </c>
      <c r="O88" s="1" t="s">
        <v>609</v>
      </c>
      <c r="P88" s="17"/>
      <c r="Q88" s="13" t="b">
        <v>1</v>
      </c>
      <c r="R88" s="13" t="b">
        <v>1</v>
      </c>
      <c r="S88" s="13" t="b">
        <v>0</v>
      </c>
      <c r="T88" s="13" t="s">
        <v>730</v>
      </c>
      <c r="U88" s="12" t="s">
        <v>834</v>
      </c>
      <c r="V88" s="15"/>
      <c r="W88" s="29" t="s">
        <v>835</v>
      </c>
      <c r="X88" s="13"/>
      <c r="Y88" s="16" t="s">
        <v>607</v>
      </c>
      <c r="Z88" s="17" t="s">
        <v>59</v>
      </c>
      <c r="AA88" s="13" t="s">
        <v>736</v>
      </c>
      <c r="AB88" s="13" t="s">
        <v>856</v>
      </c>
      <c r="AC88" s="12"/>
      <c r="AD88" s="12"/>
      <c r="AE88" s="13" t="s">
        <v>854</v>
      </c>
      <c r="AF88" s="12"/>
      <c r="AG88" s="12" t="s">
        <v>312</v>
      </c>
      <c r="AH88" s="12" t="s">
        <v>929</v>
      </c>
    </row>
    <row r="89" spans="1:34" ht="145.19999999999999" hidden="1" customHeight="1" x14ac:dyDescent="0.25">
      <c r="A89" s="12">
        <v>87</v>
      </c>
      <c r="B89" s="12" t="str">
        <f>_xlfn.CONCAT("S", Table1[[#This Row],[No]])</f>
        <v>S87</v>
      </c>
      <c r="C89" s="12" t="s">
        <v>618</v>
      </c>
      <c r="D89" s="13" t="s">
        <v>734</v>
      </c>
      <c r="E89" s="12" t="s">
        <v>611</v>
      </c>
      <c r="F89" s="12" t="s">
        <v>612</v>
      </c>
      <c r="G89" s="13">
        <v>2021</v>
      </c>
      <c r="H89" s="13" t="b">
        <v>0</v>
      </c>
      <c r="I89" s="13" t="b">
        <v>1</v>
      </c>
      <c r="J89" s="13" t="b">
        <v>0</v>
      </c>
      <c r="K89" s="13" t="b">
        <v>0</v>
      </c>
      <c r="L89" s="13" t="b">
        <v>0</v>
      </c>
      <c r="M89" s="13" t="b">
        <v>0</v>
      </c>
      <c r="N89" s="17" t="s">
        <v>617</v>
      </c>
      <c r="O89" s="1" t="s">
        <v>613</v>
      </c>
      <c r="P89" s="17"/>
      <c r="Q89" s="13" t="b">
        <v>1</v>
      </c>
      <c r="R89" s="13" t="b">
        <v>1</v>
      </c>
      <c r="S89" s="13" t="b">
        <v>0</v>
      </c>
      <c r="T89" s="13" t="s">
        <v>730</v>
      </c>
      <c r="U89" s="12" t="s">
        <v>614</v>
      </c>
      <c r="V89" s="15" t="s">
        <v>615</v>
      </c>
      <c r="W89" s="29">
        <v>177</v>
      </c>
      <c r="X89" s="13"/>
      <c r="Y89" s="16" t="s">
        <v>616</v>
      </c>
      <c r="Z89" s="17" t="s">
        <v>29</v>
      </c>
      <c r="AA89" s="13" t="s">
        <v>737</v>
      </c>
      <c r="AB89" s="13" t="s">
        <v>856</v>
      </c>
      <c r="AC89" s="12"/>
      <c r="AD89" s="12"/>
      <c r="AE89" s="13" t="s">
        <v>812</v>
      </c>
      <c r="AF89" s="12"/>
      <c r="AG89" s="12" t="s">
        <v>312</v>
      </c>
      <c r="AH89" s="12" t="s">
        <v>836</v>
      </c>
    </row>
    <row r="90" spans="1:34" ht="26.4" hidden="1" customHeight="1" x14ac:dyDescent="0.25">
      <c r="A90" s="12">
        <v>88</v>
      </c>
      <c r="B90" s="12" t="str">
        <f>_xlfn.CONCAT("S", Table1[[#This Row],[No]])</f>
        <v>S88</v>
      </c>
      <c r="C90" s="12" t="s">
        <v>620</v>
      </c>
      <c r="D90" s="13" t="s">
        <v>734</v>
      </c>
      <c r="E90" s="12" t="s">
        <v>619</v>
      </c>
      <c r="F90" s="12" t="s">
        <v>621</v>
      </c>
      <c r="G90" s="13">
        <v>2012</v>
      </c>
      <c r="H90" s="13" t="b">
        <v>0</v>
      </c>
      <c r="I90" s="13" t="b">
        <v>1</v>
      </c>
      <c r="J90" s="13" t="b">
        <v>0</v>
      </c>
      <c r="K90" s="13" t="b">
        <v>0</v>
      </c>
      <c r="L90" s="13" t="b">
        <v>0</v>
      </c>
      <c r="M90" s="13" t="b">
        <v>0</v>
      </c>
      <c r="N90" s="17" t="s">
        <v>625</v>
      </c>
      <c r="O90" s="1" t="s">
        <v>624</v>
      </c>
      <c r="P90" s="17"/>
      <c r="Q90" s="13" t="b">
        <v>1</v>
      </c>
      <c r="R90" s="13" t="b">
        <v>1</v>
      </c>
      <c r="S90" s="13" t="b">
        <v>0</v>
      </c>
      <c r="T90" s="13" t="s">
        <v>778</v>
      </c>
      <c r="U90" s="12" t="s">
        <v>623</v>
      </c>
      <c r="V90" s="15"/>
      <c r="W90" s="29">
        <v>112</v>
      </c>
      <c r="X90" s="13"/>
      <c r="Y90" s="16" t="s">
        <v>622</v>
      </c>
      <c r="Z90" s="17" t="s">
        <v>59</v>
      </c>
      <c r="AA90" s="13" t="s">
        <v>731</v>
      </c>
      <c r="AB90" s="13" t="s">
        <v>856</v>
      </c>
      <c r="AC90" s="12"/>
      <c r="AD90" s="12"/>
      <c r="AE90" s="13" t="s">
        <v>760</v>
      </c>
      <c r="AF90" s="12" t="s">
        <v>795</v>
      </c>
      <c r="AG90" s="12" t="s">
        <v>312</v>
      </c>
      <c r="AH90" s="12" t="s">
        <v>930</v>
      </c>
    </row>
    <row r="91" spans="1:34" ht="126" hidden="1" customHeight="1" x14ac:dyDescent="0.25">
      <c r="A91" s="12">
        <v>89</v>
      </c>
      <c r="B91" s="12" t="str">
        <f>_xlfn.CONCAT("S", Table1[[#This Row],[No]])</f>
        <v>S89</v>
      </c>
      <c r="C91" s="12" t="s">
        <v>627</v>
      </c>
      <c r="D91" s="13" t="s">
        <v>734</v>
      </c>
      <c r="E91" s="12" t="s">
        <v>626</v>
      </c>
      <c r="F91" s="12" t="s">
        <v>628</v>
      </c>
      <c r="G91" s="13">
        <v>2024</v>
      </c>
      <c r="H91" s="13" t="b">
        <v>0</v>
      </c>
      <c r="I91" s="13" t="b">
        <v>1</v>
      </c>
      <c r="J91" s="13" t="b">
        <v>0</v>
      </c>
      <c r="K91" s="13" t="b">
        <v>0</v>
      </c>
      <c r="L91" s="13" t="b">
        <v>0</v>
      </c>
      <c r="M91" s="13" t="b">
        <v>0</v>
      </c>
      <c r="N91" s="17" t="s">
        <v>837</v>
      </c>
      <c r="O91" s="1" t="s">
        <v>631</v>
      </c>
      <c r="P91" s="17"/>
      <c r="Q91" s="13" t="b">
        <v>1</v>
      </c>
      <c r="R91" s="13" t="b">
        <v>1</v>
      </c>
      <c r="S91" s="13" t="b">
        <v>1</v>
      </c>
      <c r="T91" s="13" t="s">
        <v>733</v>
      </c>
      <c r="U91" s="12" t="s">
        <v>629</v>
      </c>
      <c r="V91" s="15" t="s">
        <v>630</v>
      </c>
      <c r="W91" s="29"/>
      <c r="X91" s="13"/>
      <c r="Y91" s="16" t="s">
        <v>838</v>
      </c>
      <c r="Z91" s="17" t="s">
        <v>78</v>
      </c>
      <c r="AA91" s="13" t="s">
        <v>731</v>
      </c>
      <c r="AB91" s="13" t="s">
        <v>739</v>
      </c>
      <c r="AC91" s="12" t="s">
        <v>931</v>
      </c>
      <c r="AD91" s="12" t="s">
        <v>947</v>
      </c>
      <c r="AE91" s="13" t="s">
        <v>857</v>
      </c>
      <c r="AF91" s="12"/>
      <c r="AG91" s="12" t="s">
        <v>312</v>
      </c>
      <c r="AH91" s="12" t="s">
        <v>957</v>
      </c>
    </row>
    <row r="92" spans="1:34" ht="234" customHeight="1" x14ac:dyDescent="0.25">
      <c r="A92" s="12">
        <v>90</v>
      </c>
      <c r="B92" s="12" t="str">
        <f>_xlfn.CONCAT("S", Table1[[#This Row],[No]])</f>
        <v>S90</v>
      </c>
      <c r="C92" s="12" t="s">
        <v>632</v>
      </c>
      <c r="D92" s="13" t="s">
        <v>732</v>
      </c>
      <c r="E92" s="12" t="s">
        <v>634</v>
      </c>
      <c r="F92" s="12" t="s">
        <v>839</v>
      </c>
      <c r="G92" s="13">
        <v>2010</v>
      </c>
      <c r="H92" s="13" t="b">
        <v>1</v>
      </c>
      <c r="I92" s="13" t="b">
        <v>1</v>
      </c>
      <c r="J92" s="13" t="b">
        <v>0</v>
      </c>
      <c r="K92" s="13" t="b">
        <v>0</v>
      </c>
      <c r="L92" s="13" t="b">
        <v>0</v>
      </c>
      <c r="M92" s="13" t="b">
        <v>0</v>
      </c>
      <c r="N92" s="17"/>
      <c r="O92" s="17"/>
      <c r="P92" s="1" t="s">
        <v>633</v>
      </c>
      <c r="Q92" s="13" t="b">
        <v>1</v>
      </c>
      <c r="R92" s="13" t="b">
        <v>1</v>
      </c>
      <c r="S92" s="13" t="b">
        <v>1</v>
      </c>
      <c r="T92" s="13" t="s">
        <v>775</v>
      </c>
      <c r="U92" s="12"/>
      <c r="V92" s="15"/>
      <c r="W92" s="29"/>
      <c r="X92" s="13"/>
      <c r="Y92" s="16"/>
      <c r="Z92" s="17"/>
      <c r="AA92" s="13" t="s">
        <v>731</v>
      </c>
      <c r="AB92" s="13" t="s">
        <v>739</v>
      </c>
      <c r="AC92" s="12" t="s">
        <v>932</v>
      </c>
      <c r="AD92" s="12" t="s">
        <v>943</v>
      </c>
      <c r="AE92" s="13" t="s">
        <v>758</v>
      </c>
      <c r="AF92" s="12"/>
      <c r="AG92" s="12" t="s">
        <v>312</v>
      </c>
      <c r="AH92" s="12" t="s">
        <v>958</v>
      </c>
    </row>
    <row r="93" spans="1:34" ht="79.2" hidden="1" x14ac:dyDescent="0.25">
      <c r="A93" s="12">
        <v>91</v>
      </c>
      <c r="B93" s="12" t="str">
        <f>_xlfn.CONCAT("S", Table1[[#This Row],[No]])</f>
        <v>S91</v>
      </c>
      <c r="C93" s="12" t="s">
        <v>636</v>
      </c>
      <c r="D93" s="13" t="s">
        <v>734</v>
      </c>
      <c r="E93" s="12" t="s">
        <v>635</v>
      </c>
      <c r="F93" s="12" t="s">
        <v>637</v>
      </c>
      <c r="G93" s="13">
        <v>2014</v>
      </c>
      <c r="H93" s="13" t="b">
        <v>0</v>
      </c>
      <c r="I93" s="13" t="b">
        <v>1</v>
      </c>
      <c r="J93" s="13" t="b">
        <v>0</v>
      </c>
      <c r="K93" s="13" t="b">
        <v>0</v>
      </c>
      <c r="L93" s="13" t="b">
        <v>0</v>
      </c>
      <c r="M93" s="13" t="b">
        <v>0</v>
      </c>
      <c r="N93" s="17" t="s">
        <v>638</v>
      </c>
      <c r="O93" s="17"/>
      <c r="P93" s="17"/>
      <c r="Q93" s="13" t="b">
        <v>1</v>
      </c>
      <c r="R93" s="13" t="b">
        <v>1</v>
      </c>
      <c r="S93" s="13" t="b">
        <v>1</v>
      </c>
      <c r="T93" s="13" t="s">
        <v>730</v>
      </c>
      <c r="U93" s="12" t="s">
        <v>639</v>
      </c>
      <c r="V93" s="15" t="s">
        <v>640</v>
      </c>
      <c r="W93" s="29">
        <v>2</v>
      </c>
      <c r="X93" s="13">
        <v>4</v>
      </c>
      <c r="Y93" s="16"/>
      <c r="Z93" s="17" t="s">
        <v>641</v>
      </c>
      <c r="AA93" s="13" t="s">
        <v>731</v>
      </c>
      <c r="AB93" s="13" t="s">
        <v>785</v>
      </c>
      <c r="AC93" s="12" t="s">
        <v>892</v>
      </c>
      <c r="AD93" s="12" t="s">
        <v>947</v>
      </c>
      <c r="AE93" s="13" t="s">
        <v>812</v>
      </c>
      <c r="AF93" s="12"/>
      <c r="AG93" s="12" t="s">
        <v>312</v>
      </c>
      <c r="AH93" s="12" t="s">
        <v>959</v>
      </c>
    </row>
    <row r="94" spans="1:34" ht="39.6" hidden="1" customHeight="1" x14ac:dyDescent="0.25">
      <c r="A94" s="12">
        <v>92</v>
      </c>
      <c r="B94" s="12" t="str">
        <f>_xlfn.CONCAT("S", Table1[[#This Row],[No]])</f>
        <v>S92</v>
      </c>
      <c r="C94" s="12" t="s">
        <v>642</v>
      </c>
      <c r="D94" s="13" t="s">
        <v>734</v>
      </c>
      <c r="E94" s="12" t="s">
        <v>645</v>
      </c>
      <c r="F94" s="12" t="s">
        <v>643</v>
      </c>
      <c r="G94" s="13">
        <v>2012</v>
      </c>
      <c r="H94" s="13" t="b">
        <v>1</v>
      </c>
      <c r="I94" s="13" t="b">
        <v>0</v>
      </c>
      <c r="J94" s="13" t="b">
        <v>0</v>
      </c>
      <c r="K94" s="13" t="b">
        <v>0</v>
      </c>
      <c r="L94" s="13" t="b">
        <v>0</v>
      </c>
      <c r="M94" s="13" t="b">
        <v>0</v>
      </c>
      <c r="N94" s="17"/>
      <c r="O94" s="17"/>
      <c r="P94" s="1" t="s">
        <v>644</v>
      </c>
      <c r="Q94" s="13" t="b">
        <v>1</v>
      </c>
      <c r="R94" s="13" t="b">
        <v>1</v>
      </c>
      <c r="S94" s="13" t="b">
        <v>0</v>
      </c>
      <c r="T94" s="13" t="s">
        <v>808</v>
      </c>
      <c r="U94" s="12"/>
      <c r="V94" s="15" t="s">
        <v>313</v>
      </c>
      <c r="W94" s="29"/>
      <c r="X94" s="13"/>
      <c r="Y94" s="16"/>
      <c r="Z94" s="17"/>
      <c r="AA94" s="13" t="s">
        <v>737</v>
      </c>
      <c r="AB94" s="13" t="s">
        <v>856</v>
      </c>
      <c r="AC94" s="12"/>
      <c r="AD94" s="12"/>
      <c r="AE94" s="13" t="s">
        <v>758</v>
      </c>
      <c r="AF94" s="12"/>
      <c r="AG94" s="12" t="s">
        <v>312</v>
      </c>
      <c r="AH94" s="12" t="s">
        <v>840</v>
      </c>
    </row>
    <row r="95" spans="1:34" ht="66" x14ac:dyDescent="0.25">
      <c r="A95" s="12">
        <v>93</v>
      </c>
      <c r="B95" s="12" t="str">
        <f>_xlfn.CONCAT("S", Table1[[#This Row],[No]])</f>
        <v>S93</v>
      </c>
      <c r="C95" s="12" t="s">
        <v>647</v>
      </c>
      <c r="D95" s="13" t="s">
        <v>732</v>
      </c>
      <c r="E95" s="12" t="s">
        <v>646</v>
      </c>
      <c r="F95" s="17" t="s">
        <v>648</v>
      </c>
      <c r="G95" s="13">
        <v>2019</v>
      </c>
      <c r="H95" s="13" t="b">
        <v>1</v>
      </c>
      <c r="I95" s="13" t="b">
        <v>1</v>
      </c>
      <c r="J95" s="13" t="b">
        <v>0</v>
      </c>
      <c r="K95" s="13" t="b">
        <v>0</v>
      </c>
      <c r="L95" s="13" t="b">
        <v>0</v>
      </c>
      <c r="M95" s="13" t="b">
        <v>0</v>
      </c>
      <c r="N95" s="17" t="s">
        <v>649</v>
      </c>
      <c r="O95" s="1" t="s">
        <v>650</v>
      </c>
      <c r="P95" s="17"/>
      <c r="Q95" s="13" t="b">
        <v>1</v>
      </c>
      <c r="R95" s="13" t="b">
        <v>1</v>
      </c>
      <c r="S95" s="13" t="b">
        <v>1</v>
      </c>
      <c r="T95" s="13" t="s">
        <v>730</v>
      </c>
      <c r="U95" s="12" t="s">
        <v>653</v>
      </c>
      <c r="V95" s="15"/>
      <c r="W95" s="29">
        <v>13</v>
      </c>
      <c r="X95" s="13">
        <v>5</v>
      </c>
      <c r="Y95" s="16" t="s">
        <v>651</v>
      </c>
      <c r="Z95" s="12" t="s">
        <v>652</v>
      </c>
      <c r="AA95" s="13" t="s">
        <v>731</v>
      </c>
      <c r="AB95" s="13" t="s">
        <v>739</v>
      </c>
      <c r="AC95" s="12" t="s">
        <v>933</v>
      </c>
      <c r="AD95" s="12" t="s">
        <v>943</v>
      </c>
      <c r="AE95" s="13" t="s">
        <v>758</v>
      </c>
      <c r="AF95" s="12"/>
      <c r="AG95" s="12" t="s">
        <v>312</v>
      </c>
      <c r="AH95" s="12" t="s">
        <v>960</v>
      </c>
    </row>
    <row r="96" spans="1:34" ht="52.8" hidden="1" x14ac:dyDescent="0.25">
      <c r="A96" s="12">
        <v>94</v>
      </c>
      <c r="B96" s="12" t="str">
        <f>_xlfn.CONCAT("S", Table1[[#This Row],[No]])</f>
        <v>S94</v>
      </c>
      <c r="C96" s="12" t="s">
        <v>655</v>
      </c>
      <c r="D96" s="13" t="s">
        <v>734</v>
      </c>
      <c r="E96" s="12" t="s">
        <v>654</v>
      </c>
      <c r="F96" s="17" t="s">
        <v>656</v>
      </c>
      <c r="G96" s="13">
        <v>2018</v>
      </c>
      <c r="H96" s="13" t="b">
        <v>0</v>
      </c>
      <c r="I96" s="13" t="b">
        <v>1</v>
      </c>
      <c r="J96" s="13" t="b">
        <v>0</v>
      </c>
      <c r="K96" s="13" t="b">
        <v>0</v>
      </c>
      <c r="L96" s="13" t="b">
        <v>0</v>
      </c>
      <c r="M96" s="13" t="b">
        <v>0</v>
      </c>
      <c r="N96" s="17"/>
      <c r="O96" s="1" t="s">
        <v>659</v>
      </c>
      <c r="P96" s="17"/>
      <c r="Q96" s="13" t="b">
        <v>1</v>
      </c>
      <c r="R96" s="13" t="b">
        <v>1</v>
      </c>
      <c r="S96" s="13" t="b">
        <v>1</v>
      </c>
      <c r="T96" s="13" t="s">
        <v>841</v>
      </c>
      <c r="U96" s="12" t="s">
        <v>657</v>
      </c>
      <c r="V96" s="15"/>
      <c r="W96" s="29">
        <v>14</v>
      </c>
      <c r="X96" s="13">
        <v>4</v>
      </c>
      <c r="Y96" s="16" t="s">
        <v>658</v>
      </c>
      <c r="Z96" s="12" t="s">
        <v>343</v>
      </c>
      <c r="AA96" s="13" t="s">
        <v>731</v>
      </c>
      <c r="AB96" s="13" t="s">
        <v>767</v>
      </c>
      <c r="AC96" s="12"/>
      <c r="AD96" s="12" t="s">
        <v>947</v>
      </c>
      <c r="AE96" s="13" t="s">
        <v>897</v>
      </c>
      <c r="AF96" s="12"/>
      <c r="AG96" s="12" t="s">
        <v>312</v>
      </c>
      <c r="AH96" s="12" t="s">
        <v>934</v>
      </c>
    </row>
    <row r="97" spans="1:34" ht="79.2" hidden="1" customHeight="1" x14ac:dyDescent="0.25">
      <c r="A97" s="12">
        <v>95</v>
      </c>
      <c r="B97" s="12" t="str">
        <f>_xlfn.CONCAT("S", Table1[[#This Row],[No]])</f>
        <v>S95</v>
      </c>
      <c r="C97" s="12" t="s">
        <v>660</v>
      </c>
      <c r="D97" s="13" t="s">
        <v>734</v>
      </c>
      <c r="E97" s="12" t="s">
        <v>665</v>
      </c>
      <c r="F97" s="12" t="s">
        <v>661</v>
      </c>
      <c r="G97" s="13">
        <v>2025</v>
      </c>
      <c r="H97" s="13" t="b">
        <v>0</v>
      </c>
      <c r="I97" s="13" t="b">
        <v>1</v>
      </c>
      <c r="J97" s="13" t="b">
        <v>0</v>
      </c>
      <c r="K97" s="13" t="b">
        <v>0</v>
      </c>
      <c r="L97" s="13" t="b">
        <v>0</v>
      </c>
      <c r="M97" s="13" t="b">
        <v>0</v>
      </c>
      <c r="N97" s="17"/>
      <c r="O97" s="1" t="s">
        <v>662</v>
      </c>
      <c r="P97" s="17"/>
      <c r="Q97" s="13" t="b">
        <v>1</v>
      </c>
      <c r="R97" s="13" t="b">
        <v>1</v>
      </c>
      <c r="S97" s="13" t="b">
        <v>0</v>
      </c>
      <c r="T97" s="13" t="s">
        <v>730</v>
      </c>
      <c r="U97" s="12" t="s">
        <v>663</v>
      </c>
      <c r="V97" s="15"/>
      <c r="W97" s="29">
        <v>15</v>
      </c>
      <c r="X97" s="13">
        <v>1</v>
      </c>
      <c r="Y97" s="16"/>
      <c r="Z97" s="17" t="s">
        <v>664</v>
      </c>
      <c r="AA97" s="13" t="s">
        <v>736</v>
      </c>
      <c r="AB97" s="13" t="s">
        <v>856</v>
      </c>
      <c r="AC97" s="12"/>
      <c r="AD97" s="12"/>
      <c r="AE97" s="13" t="s">
        <v>854</v>
      </c>
      <c r="AF97" s="12"/>
      <c r="AG97" s="12" t="s">
        <v>312</v>
      </c>
      <c r="AH97" s="12" t="s">
        <v>935</v>
      </c>
    </row>
    <row r="98" spans="1:34" ht="39.6" x14ac:dyDescent="0.25">
      <c r="A98" s="12">
        <v>96</v>
      </c>
      <c r="B98" s="12" t="str">
        <f>_xlfn.CONCAT("S", Table1[[#This Row],[No]])</f>
        <v>S96</v>
      </c>
      <c r="C98" s="12" t="s">
        <v>667</v>
      </c>
      <c r="D98" s="13" t="s">
        <v>732</v>
      </c>
      <c r="E98" s="12" t="s">
        <v>666</v>
      </c>
      <c r="F98" s="12" t="s">
        <v>668</v>
      </c>
      <c r="G98" s="13">
        <v>2020</v>
      </c>
      <c r="H98" s="13" t="b">
        <v>1</v>
      </c>
      <c r="I98" s="13" t="b">
        <v>1</v>
      </c>
      <c r="J98" s="13" t="b">
        <v>0</v>
      </c>
      <c r="K98" s="13" t="b">
        <v>0</v>
      </c>
      <c r="L98" s="13" t="b">
        <v>0</v>
      </c>
      <c r="M98" s="13" t="b">
        <v>0</v>
      </c>
      <c r="N98" s="17" t="s">
        <v>671</v>
      </c>
      <c r="O98" s="1" t="s">
        <v>670</v>
      </c>
      <c r="P98" s="17"/>
      <c r="Q98" s="13" t="b">
        <v>1</v>
      </c>
      <c r="R98" s="13" t="b">
        <v>1</v>
      </c>
      <c r="S98" s="13" t="b">
        <v>1</v>
      </c>
      <c r="T98" s="13" t="s">
        <v>730</v>
      </c>
      <c r="U98" s="12" t="s">
        <v>672</v>
      </c>
      <c r="V98" s="15" t="s">
        <v>669</v>
      </c>
      <c r="W98" s="29">
        <v>8</v>
      </c>
      <c r="X98" s="13"/>
      <c r="Y98" s="16"/>
      <c r="Z98" s="17" t="s">
        <v>63</v>
      </c>
      <c r="AA98" s="13" t="s">
        <v>736</v>
      </c>
      <c r="AB98" s="13" t="s">
        <v>739</v>
      </c>
      <c r="AC98" s="12" t="s">
        <v>936</v>
      </c>
      <c r="AD98" s="12" t="s">
        <v>943</v>
      </c>
      <c r="AE98" s="13" t="s">
        <v>842</v>
      </c>
      <c r="AF98" s="12"/>
      <c r="AG98" s="12" t="s">
        <v>312</v>
      </c>
      <c r="AH98" s="12" t="s">
        <v>843</v>
      </c>
    </row>
    <row r="99" spans="1:34" ht="52.8" hidden="1" customHeight="1" x14ac:dyDescent="0.25">
      <c r="A99" s="12">
        <v>97</v>
      </c>
      <c r="B99" s="12" t="str">
        <f>_xlfn.CONCAT("S", Table1[[#This Row],[No]])</f>
        <v>S97</v>
      </c>
      <c r="C99" s="12" t="s">
        <v>673</v>
      </c>
      <c r="D99" s="13" t="s">
        <v>734</v>
      </c>
      <c r="E99" s="12" t="s">
        <v>675</v>
      </c>
      <c r="F99" s="12" t="s">
        <v>674</v>
      </c>
      <c r="G99" s="13">
        <v>2025</v>
      </c>
      <c r="H99" s="13" t="b">
        <v>0</v>
      </c>
      <c r="I99" s="13" t="b">
        <v>1</v>
      </c>
      <c r="J99" s="13" t="b">
        <v>0</v>
      </c>
      <c r="K99" s="13" t="b">
        <v>0</v>
      </c>
      <c r="L99" s="13" t="b">
        <v>0</v>
      </c>
      <c r="M99" s="13" t="b">
        <v>0</v>
      </c>
      <c r="N99" s="17" t="s">
        <v>678</v>
      </c>
      <c r="O99" s="1" t="s">
        <v>676</v>
      </c>
      <c r="P99" s="17"/>
      <c r="Q99" s="13" t="b">
        <v>1</v>
      </c>
      <c r="R99" s="13" t="b">
        <v>1</v>
      </c>
      <c r="S99" s="13" t="b">
        <v>0</v>
      </c>
      <c r="T99" s="13" t="s">
        <v>730</v>
      </c>
      <c r="U99" s="12" t="s">
        <v>679</v>
      </c>
      <c r="V99" s="15"/>
      <c r="W99" s="29" t="s">
        <v>844</v>
      </c>
      <c r="X99" s="13"/>
      <c r="Y99" s="16"/>
      <c r="Z99" s="12" t="s">
        <v>677</v>
      </c>
      <c r="AA99" s="13" t="s">
        <v>737</v>
      </c>
      <c r="AB99" s="13" t="s">
        <v>739</v>
      </c>
      <c r="AC99" s="12" t="s">
        <v>937</v>
      </c>
      <c r="AD99" s="12"/>
      <c r="AE99" s="13" t="s">
        <v>854</v>
      </c>
      <c r="AF99" s="12"/>
      <c r="AG99" s="12" t="s">
        <v>312</v>
      </c>
      <c r="AH99" s="12" t="s">
        <v>849</v>
      </c>
    </row>
    <row r="100" spans="1:34" ht="66" hidden="1" customHeight="1" x14ac:dyDescent="0.25">
      <c r="A100" s="12">
        <v>98</v>
      </c>
      <c r="B100" s="12" t="str">
        <f>_xlfn.CONCAT("S", Table1[[#This Row],[No]])</f>
        <v>S98</v>
      </c>
      <c r="C100" s="12" t="s">
        <v>681</v>
      </c>
      <c r="D100" s="13" t="s">
        <v>734</v>
      </c>
      <c r="E100" s="12" t="s">
        <v>680</v>
      </c>
      <c r="F100" s="12" t="s">
        <v>682</v>
      </c>
      <c r="G100" s="13">
        <v>2018</v>
      </c>
      <c r="H100" s="13" t="b">
        <v>0</v>
      </c>
      <c r="I100" s="13" t="b">
        <v>1</v>
      </c>
      <c r="J100" s="13" t="b">
        <v>0</v>
      </c>
      <c r="K100" s="13" t="b">
        <v>0</v>
      </c>
      <c r="L100" s="13" t="b">
        <v>0</v>
      </c>
      <c r="M100" s="13" t="b">
        <v>0</v>
      </c>
      <c r="N100" s="17" t="s">
        <v>684</v>
      </c>
      <c r="O100" s="17"/>
      <c r="P100" s="17"/>
      <c r="Q100" s="13" t="b">
        <v>1</v>
      </c>
      <c r="R100" s="13" t="b">
        <v>1</v>
      </c>
      <c r="S100" s="13" t="b">
        <v>0</v>
      </c>
      <c r="T100" s="13" t="s">
        <v>730</v>
      </c>
      <c r="U100" s="12" t="s">
        <v>683</v>
      </c>
      <c r="V100" s="15" t="s">
        <v>274</v>
      </c>
      <c r="W100" s="29">
        <v>9</v>
      </c>
      <c r="X100" s="13">
        <v>4</v>
      </c>
      <c r="Y100" s="16" t="s">
        <v>685</v>
      </c>
      <c r="Z100" s="17" t="s">
        <v>686</v>
      </c>
      <c r="AA100" s="13" t="s">
        <v>731</v>
      </c>
      <c r="AB100" s="13" t="s">
        <v>739</v>
      </c>
      <c r="AC100" s="12" t="s">
        <v>938</v>
      </c>
      <c r="AD100" s="12"/>
      <c r="AE100" s="13" t="s">
        <v>758</v>
      </c>
      <c r="AF100" s="12"/>
      <c r="AG100" s="12" t="s">
        <v>312</v>
      </c>
      <c r="AH100" s="12" t="s">
        <v>845</v>
      </c>
    </row>
    <row r="101" spans="1:34" ht="92.4" hidden="1" customHeight="1" x14ac:dyDescent="0.25">
      <c r="A101" s="12">
        <v>99</v>
      </c>
      <c r="B101" s="12" t="str">
        <f>_xlfn.CONCAT("S", Table1[[#This Row],[No]])</f>
        <v>S99</v>
      </c>
      <c r="C101" s="12" t="s">
        <v>688</v>
      </c>
      <c r="D101" s="13" t="s">
        <v>734</v>
      </c>
      <c r="E101" s="12" t="s">
        <v>687</v>
      </c>
      <c r="F101" s="12" t="s">
        <v>689</v>
      </c>
      <c r="G101" s="13">
        <v>2014</v>
      </c>
      <c r="H101" s="13" t="b">
        <v>0</v>
      </c>
      <c r="I101" s="13" t="b">
        <v>1</v>
      </c>
      <c r="J101" s="13" t="b">
        <v>0</v>
      </c>
      <c r="K101" s="13" t="b">
        <v>0</v>
      </c>
      <c r="L101" s="13" t="b">
        <v>0</v>
      </c>
      <c r="M101" s="13" t="b">
        <v>0</v>
      </c>
      <c r="N101" s="17" t="s">
        <v>692</v>
      </c>
      <c r="O101" s="1" t="s">
        <v>691</v>
      </c>
      <c r="P101" s="17"/>
      <c r="Q101" s="13" t="b">
        <v>1</v>
      </c>
      <c r="R101" s="13" t="b">
        <v>1</v>
      </c>
      <c r="S101" s="13" t="b">
        <v>0</v>
      </c>
      <c r="T101" s="13" t="s">
        <v>733</v>
      </c>
      <c r="U101" s="12" t="s">
        <v>690</v>
      </c>
      <c r="V101" s="15" t="s">
        <v>216</v>
      </c>
      <c r="W101" s="29"/>
      <c r="X101" s="13"/>
      <c r="Y101" s="16" t="s">
        <v>693</v>
      </c>
      <c r="Z101" s="17" t="s">
        <v>63</v>
      </c>
      <c r="AA101" s="13" t="s">
        <v>737</v>
      </c>
      <c r="AB101" s="13" t="s">
        <v>856</v>
      </c>
      <c r="AC101" s="12"/>
      <c r="AD101" s="12"/>
      <c r="AE101" s="13" t="s">
        <v>758</v>
      </c>
      <c r="AF101" s="12"/>
      <c r="AG101" s="12" t="s">
        <v>312</v>
      </c>
      <c r="AH101" s="12" t="s">
        <v>939</v>
      </c>
    </row>
    <row r="102" spans="1:34" ht="39.6" hidden="1" customHeight="1" x14ac:dyDescent="0.25">
      <c r="A102" s="12">
        <v>100</v>
      </c>
      <c r="B102" s="12" t="str">
        <f>_xlfn.CONCAT("S", Table1[[#This Row],[No]])</f>
        <v>S100</v>
      </c>
      <c r="C102" s="12" t="s">
        <v>696</v>
      </c>
      <c r="D102" s="13" t="s">
        <v>734</v>
      </c>
      <c r="E102" s="12" t="s">
        <v>695</v>
      </c>
      <c r="F102" s="17" t="s">
        <v>697</v>
      </c>
      <c r="G102" s="13">
        <v>2013</v>
      </c>
      <c r="H102" s="13" t="b">
        <v>0</v>
      </c>
      <c r="I102" s="13" t="b">
        <v>1</v>
      </c>
      <c r="J102" s="13" t="b">
        <v>0</v>
      </c>
      <c r="K102" s="13" t="b">
        <v>0</v>
      </c>
      <c r="L102" s="13" t="b">
        <v>0</v>
      </c>
      <c r="M102" s="13" t="b">
        <v>0</v>
      </c>
      <c r="N102" s="17" t="s">
        <v>701</v>
      </c>
      <c r="O102" s="1" t="s">
        <v>700</v>
      </c>
      <c r="P102" s="17"/>
      <c r="Q102" s="13" t="b">
        <v>1</v>
      </c>
      <c r="R102" s="13" t="b">
        <v>1</v>
      </c>
      <c r="S102" s="13" t="b">
        <v>0</v>
      </c>
      <c r="T102" s="13" t="s">
        <v>730</v>
      </c>
      <c r="U102" s="12" t="s">
        <v>698</v>
      </c>
      <c r="V102" s="15"/>
      <c r="W102" s="29" t="s">
        <v>846</v>
      </c>
      <c r="X102" s="13"/>
      <c r="Y102" s="16" t="s">
        <v>699</v>
      </c>
      <c r="Z102" s="17" t="s">
        <v>59</v>
      </c>
      <c r="AA102" s="13" t="s">
        <v>731</v>
      </c>
      <c r="AB102" s="13" t="s">
        <v>856</v>
      </c>
      <c r="AC102" s="12"/>
      <c r="AD102" s="12"/>
      <c r="AE102" s="13" t="s">
        <v>760</v>
      </c>
      <c r="AF102" s="12" t="s">
        <v>847</v>
      </c>
      <c r="AG102" s="12" t="s">
        <v>312</v>
      </c>
      <c r="AH102" s="12" t="s">
        <v>940</v>
      </c>
    </row>
    <row r="103" spans="1:34" ht="52.8" x14ac:dyDescent="0.25">
      <c r="A103" s="12">
        <v>101</v>
      </c>
      <c r="B103" s="12" t="str">
        <f>_xlfn.CONCAT("S", Table1[[#This Row],[No]])</f>
        <v>S101</v>
      </c>
      <c r="C103" s="12" t="s">
        <v>708</v>
      </c>
      <c r="D103" s="13" t="s">
        <v>732</v>
      </c>
      <c r="E103" s="12" t="s">
        <v>707</v>
      </c>
      <c r="F103" s="17" t="s">
        <v>709</v>
      </c>
      <c r="G103" s="13">
        <v>2014</v>
      </c>
      <c r="H103" s="13" t="b">
        <v>1</v>
      </c>
      <c r="I103" s="13" t="b">
        <v>1</v>
      </c>
      <c r="J103" s="13" t="b">
        <v>0</v>
      </c>
      <c r="K103" s="13" t="b">
        <v>0</v>
      </c>
      <c r="L103" s="13" t="b">
        <v>0</v>
      </c>
      <c r="M103" s="13" t="b">
        <v>0</v>
      </c>
      <c r="N103" s="17"/>
      <c r="O103" s="1" t="s">
        <v>710</v>
      </c>
      <c r="P103" s="17"/>
      <c r="Q103" s="13" t="b">
        <v>1</v>
      </c>
      <c r="R103" s="13" t="b">
        <v>1</v>
      </c>
      <c r="S103" s="13" t="b">
        <v>1</v>
      </c>
      <c r="T103" s="13" t="s">
        <v>730</v>
      </c>
      <c r="U103" s="12" t="s">
        <v>711</v>
      </c>
      <c r="V103" s="15" t="s">
        <v>216</v>
      </c>
      <c r="W103" s="29">
        <v>17</v>
      </c>
      <c r="X103" s="13">
        <v>4</v>
      </c>
      <c r="Y103" s="16" t="s">
        <v>712</v>
      </c>
      <c r="Z103" s="17" t="s">
        <v>132</v>
      </c>
      <c r="AA103" s="13" t="s">
        <v>731</v>
      </c>
      <c r="AB103" s="13" t="s">
        <v>739</v>
      </c>
      <c r="AC103" s="12" t="s">
        <v>941</v>
      </c>
      <c r="AD103" s="12" t="s">
        <v>943</v>
      </c>
      <c r="AE103" s="13" t="s">
        <v>758</v>
      </c>
      <c r="AF103" s="12"/>
      <c r="AG103" s="12" t="s">
        <v>312</v>
      </c>
      <c r="AH103" s="12" t="s">
        <v>848</v>
      </c>
    </row>
    <row r="104" spans="1:34" ht="52.8" hidden="1" customHeight="1" x14ac:dyDescent="0.25">
      <c r="A104" s="12">
        <v>102</v>
      </c>
      <c r="B104" s="12" t="str">
        <f>_xlfn.CONCAT("S", Table1[[#This Row],[No]])</f>
        <v>S102</v>
      </c>
      <c r="C104" s="12" t="s">
        <v>715</v>
      </c>
      <c r="D104" s="13" t="s">
        <v>734</v>
      </c>
      <c r="E104" s="12" t="s">
        <v>713</v>
      </c>
      <c r="F104" s="17" t="s">
        <v>714</v>
      </c>
      <c r="G104" s="13">
        <v>2005</v>
      </c>
      <c r="H104" s="13" t="b">
        <v>0</v>
      </c>
      <c r="I104" s="13" t="b">
        <v>1</v>
      </c>
      <c r="J104" s="13" t="b">
        <v>0</v>
      </c>
      <c r="K104" s="13" t="b">
        <v>0</v>
      </c>
      <c r="L104" s="13" t="b">
        <v>0</v>
      </c>
      <c r="M104" s="13" t="b">
        <v>0</v>
      </c>
      <c r="N104" s="17" t="s">
        <v>719</v>
      </c>
      <c r="O104" s="1" t="s">
        <v>716</v>
      </c>
      <c r="P104" s="17"/>
      <c r="Q104" s="13" t="b">
        <v>1</v>
      </c>
      <c r="R104" s="13" t="b">
        <v>1</v>
      </c>
      <c r="S104" s="13" t="b">
        <v>0</v>
      </c>
      <c r="T104" s="13" t="s">
        <v>733</v>
      </c>
      <c r="U104" s="12" t="s">
        <v>717</v>
      </c>
      <c r="V104" s="15" t="s">
        <v>718</v>
      </c>
      <c r="W104" s="29"/>
      <c r="X104" s="13"/>
      <c r="Y104" s="16" t="s">
        <v>720</v>
      </c>
      <c r="Z104" s="17" t="s">
        <v>63</v>
      </c>
      <c r="AA104" s="13" t="s">
        <v>731</v>
      </c>
      <c r="AB104" s="13" t="s">
        <v>856</v>
      </c>
      <c r="AC104" s="12"/>
      <c r="AD104" s="12"/>
      <c r="AE104" s="13" t="s">
        <v>758</v>
      </c>
      <c r="AF104" s="12"/>
      <c r="AG104" s="12" t="s">
        <v>312</v>
      </c>
      <c r="AH104" s="12" t="s">
        <v>942</v>
      </c>
    </row>
    <row r="105" spans="1:34" ht="39.6" hidden="1" customHeight="1" x14ac:dyDescent="0.25">
      <c r="A105" s="12">
        <v>103</v>
      </c>
      <c r="B105" s="12" t="str">
        <f>_xlfn.CONCAT("S", Table1[[#This Row],[No]])</f>
        <v>S103</v>
      </c>
      <c r="C105" s="12" t="s">
        <v>722</v>
      </c>
      <c r="D105" s="13" t="s">
        <v>734</v>
      </c>
      <c r="E105" s="12" t="s">
        <v>721</v>
      </c>
      <c r="F105" s="12" t="s">
        <v>637</v>
      </c>
      <c r="G105" s="13">
        <v>2014</v>
      </c>
      <c r="H105" s="13" t="b">
        <v>1</v>
      </c>
      <c r="I105" s="13" t="b">
        <v>1</v>
      </c>
      <c r="J105" s="13" t="b">
        <v>0</v>
      </c>
      <c r="K105" s="13" t="b">
        <v>0</v>
      </c>
      <c r="L105" s="13" t="b">
        <v>1</v>
      </c>
      <c r="M105" s="13" t="b">
        <v>0</v>
      </c>
      <c r="N105" s="17" t="s">
        <v>726</v>
      </c>
      <c r="O105" s="1" t="s">
        <v>724</v>
      </c>
      <c r="P105" s="17"/>
      <c r="Q105" s="13" t="b">
        <v>1</v>
      </c>
      <c r="R105" s="13" t="b">
        <v>1</v>
      </c>
      <c r="S105" s="13" t="b">
        <v>0</v>
      </c>
      <c r="T105" s="13" t="s">
        <v>733</v>
      </c>
      <c r="U105" s="12" t="s">
        <v>723</v>
      </c>
      <c r="V105" s="15" t="s">
        <v>725</v>
      </c>
      <c r="W105" s="29"/>
      <c r="X105" s="13"/>
      <c r="Y105" s="16" t="s">
        <v>727</v>
      </c>
      <c r="Z105" s="17" t="s">
        <v>63</v>
      </c>
      <c r="AA105" s="13" t="s">
        <v>731</v>
      </c>
      <c r="AB105" s="13" t="s">
        <v>785</v>
      </c>
      <c r="AC105" s="12" t="s">
        <v>892</v>
      </c>
      <c r="AD105" s="12"/>
      <c r="AE105" s="13" t="s">
        <v>812</v>
      </c>
      <c r="AF105" s="12"/>
      <c r="AG105" s="12" t="s">
        <v>312</v>
      </c>
      <c r="AH105" s="12" t="s">
        <v>850</v>
      </c>
    </row>
  </sheetData>
  <mergeCells count="3">
    <mergeCell ref="Q1:S1"/>
    <mergeCell ref="H1:I1"/>
    <mergeCell ref="J1:M1"/>
  </mergeCells>
  <conditionalFormatting sqref="D3:D105">
    <cfRule type="cellIs" dxfId="14" priority="6" operator="equal">
      <formula>"UNDECIDED"</formula>
    </cfRule>
    <cfRule type="cellIs" dxfId="13" priority="7" operator="equal">
      <formula>"NO"</formula>
    </cfRule>
    <cfRule type="cellIs" dxfId="12" priority="8" operator="equal">
      <formula>"YES"</formula>
    </cfRule>
  </conditionalFormatting>
  <conditionalFormatting sqref="E1:E30">
    <cfRule type="expression" dxfId="11" priority="17">
      <formula>COUNTIF(F:F,F1)&gt;1</formula>
    </cfRule>
  </conditionalFormatting>
  <conditionalFormatting sqref="H4">
    <cfRule type="cellIs" dxfId="10" priority="15" operator="equal">
      <formula>TRUE</formula>
    </cfRule>
  </conditionalFormatting>
  <conditionalFormatting sqref="H3:I105">
    <cfRule type="cellIs" dxfId="9" priority="3" operator="equal">
      <formula>TRUE</formula>
    </cfRule>
    <cfRule type="cellIs" dxfId="8" priority="14" operator="equal">
      <formula>FALSE</formula>
    </cfRule>
  </conditionalFormatting>
  <conditionalFormatting sqref="J3:M105">
    <cfRule type="cellIs" dxfId="7" priority="12" operator="equal">
      <formula>FALSE</formula>
    </cfRule>
    <cfRule type="cellIs" dxfId="6" priority="13" operator="equal">
      <formula>TRUE</formula>
    </cfRule>
  </conditionalFormatting>
  <conditionalFormatting sqref="Q3:S105">
    <cfRule type="cellIs" dxfId="5" priority="10" operator="equal">
      <formula>TRUE</formula>
    </cfRule>
    <cfRule type="cellIs" dxfId="4" priority="11" operator="equal">
      <formula>FALSE</formula>
    </cfRule>
  </conditionalFormatting>
  <conditionalFormatting sqref="T3:T105">
    <cfRule type="cellIs" dxfId="3" priority="5" operator="equal">
      <formula>"UNDEFINED"</formula>
    </cfRule>
  </conditionalFormatting>
  <conditionalFormatting sqref="AA3:AB105 AE3:AE105">
    <cfRule type="cellIs" dxfId="2" priority="4" operator="equal">
      <formula>"UNDEFINED"</formula>
    </cfRule>
  </conditionalFormatting>
  <conditionalFormatting sqref="AD3:AD103">
    <cfRule type="cellIs" dxfId="1" priority="1" operator="equal">
      <formula>"Low level"</formula>
    </cfRule>
    <cfRule type="cellIs" dxfId="0" priority="2" operator="equal">
      <formula>"Detailed"</formula>
    </cfRule>
  </conditionalFormatting>
  <dataValidations count="7">
    <dataValidation type="list" allowBlank="1" showInputMessage="1" showErrorMessage="1" sqref="Q3:S105 H3:M105" xr:uid="{19DEC6EA-3541-4361-9BB1-A44D503D4AEF}">
      <formula1>"FALSE,TRUE"</formula1>
    </dataValidation>
    <dataValidation type="list" allowBlank="1" showInputMessage="1" showErrorMessage="1" sqref="T3:T105" xr:uid="{8EBA8FE2-81C8-49EA-83CD-5AED78BF4EDE}">
      <formula1>"UNDEFINED,Book,Book chapter,Conference paper,Industry report,Journal article,Standard document,Symposium paper,Technical report,Thesis,White paper,Workshop paper"</formula1>
    </dataValidation>
    <dataValidation type="list" allowBlank="1" showInputMessage="1" showErrorMessage="1" sqref="AA3:AA105" xr:uid="{112AE584-2715-45D4-8033-BF38D74EFE73}">
      <formula1>"UNDEFINED,Academia,Academia-Industry,Academia-Research institute,Industry,Industry-Research institute,Research institute,Standardisation body,N/A"</formula1>
    </dataValidation>
    <dataValidation type="list" allowBlank="1" showErrorMessage="1" sqref="D3:D105" xr:uid="{FFD3DD54-E3FD-4A44-AC26-3E93EE6FCE4A}">
      <formula1>"UNDECIDED,YES,NO"</formula1>
    </dataValidation>
    <dataValidation type="list" allowBlank="1" showInputMessage="1" showErrorMessage="1" sqref="AB3:AB105" xr:uid="{FC6CB49B-BBEC-4B71-9B13-FB7041FAFF72}">
      <formula1>"UNDEFINED,Case study,Conceptual,Experiment,Interview,Showcase,Survey,No evaluation,N/A"</formula1>
    </dataValidation>
    <dataValidation type="list" allowBlank="1" showInputMessage="1" showErrorMessage="1" sqref="AE3:AE105" xr:uid="{35ED4934-DF48-4764-BD68-84F116F4A0A1}">
      <formula1>"UNDEFINED,Automotive / Transportation,Big Data / Analytics,Cloud computing,Cross domain / Generic,Cyber-physical systems,Enterprise systems,Healthcare,IoT,Smart cities,Smart manufacturing / Industry 4.0,N/A,OTHER (specify)"</formula1>
    </dataValidation>
    <dataValidation type="list" allowBlank="1" showInputMessage="1" showErrorMessage="1" sqref="AD3:AD105" xr:uid="{C1F25586-09AB-4099-80DD-AD962DF102C2}">
      <formula1>"Detailed,Low level"</formula1>
    </dataValidation>
  </dataValidations>
  <hyperlinks>
    <hyperlink ref="O3" r:id="rId1" xr:uid="{4DD5C3AE-6B3F-4ADE-A1BC-499E564C2EE0}"/>
    <hyperlink ref="O5" r:id="rId2" xr:uid="{4F89EBCE-453D-4342-993A-71005DA9BEA6}"/>
    <hyperlink ref="O6" r:id="rId3" xr:uid="{2AD13A65-3FAB-4D96-9603-D9E516B324C9}"/>
    <hyperlink ref="O7" r:id="rId4" xr:uid="{E3ACF1C8-489D-413C-B40D-06F26243D27F}"/>
    <hyperlink ref="O8" r:id="rId5" xr:uid="{A8F40BA4-50A6-4A54-B5DC-2630681B6A0B}"/>
    <hyperlink ref="O9" r:id="rId6" xr:uid="{4EFE8FB3-FFEF-4D28-BC99-1A41B0F8E07B}"/>
    <hyperlink ref="O10" r:id="rId7" xr:uid="{BEA05FBF-1AC6-4EB3-A25B-05DE2DF180B5}"/>
    <hyperlink ref="O11" r:id="rId8" xr:uid="{3D2B22F1-851C-4050-A8EE-C441D0B8FA0B}"/>
    <hyperlink ref="O12" r:id="rId9" xr:uid="{0EEF1A47-EC8A-476D-A3AA-FBED1ABF778A}"/>
    <hyperlink ref="O13" r:id="rId10" xr:uid="{88C67D40-2A2D-4BEC-B5B5-213BF0F06317}"/>
    <hyperlink ref="O14" r:id="rId11" xr:uid="{7A93A0CD-F809-4290-8BEC-8BCBF791753E}"/>
    <hyperlink ref="O15" r:id="rId12" xr:uid="{B34541D7-45D6-426A-AB53-774B76A056C5}"/>
    <hyperlink ref="O16" r:id="rId13" xr:uid="{DC623CED-1B67-4CCC-A040-0DD6EEE39E50}"/>
    <hyperlink ref="O17" r:id="rId14" xr:uid="{219DCEC5-8997-4C40-AA9F-54CD469D3F76}"/>
    <hyperlink ref="O18" r:id="rId15" xr:uid="{6A10E4CE-13B7-4C89-909D-14BDDA22B87D}"/>
    <hyperlink ref="O19" r:id="rId16" xr:uid="{3E3D1EE1-F023-4F3E-AB2D-EA6036CC5E6C}"/>
    <hyperlink ref="O20" r:id="rId17" xr:uid="{5059975A-056F-4C4C-ABAB-24E2D2AAA2D8}"/>
    <hyperlink ref="O21" r:id="rId18" xr:uid="{ABE0E1F9-E2B0-4A6B-9EED-9DBF552D7303}"/>
    <hyperlink ref="O22" r:id="rId19" xr:uid="{F242FCD5-21D3-4EE5-95FA-01F387E900B9}"/>
    <hyperlink ref="O23" r:id="rId20" xr:uid="{8FC9B56F-E437-4B1C-ACDD-5EBC8C3A3201}"/>
    <hyperlink ref="P23" r:id="rId21" xr:uid="{7808B8DC-8E5C-4A05-8FF7-AD869F469D99}"/>
    <hyperlink ref="O24" r:id="rId22" xr:uid="{06B54227-2E9B-49B7-B602-2594865E2899}"/>
    <hyperlink ref="O25" r:id="rId23" xr:uid="{7E2B6273-4EBB-4047-BC12-9B659C6600E8}"/>
    <hyperlink ref="O26" r:id="rId24" xr:uid="{4034C70E-7FBB-40E3-B6E1-0E2FA4D0C2ED}"/>
    <hyperlink ref="O27" r:id="rId25" xr:uid="{45A3CF42-96B7-4226-9F28-57EA189DE063}"/>
    <hyperlink ref="O28" r:id="rId26" xr:uid="{3D9E535E-01EB-4720-B3E0-63B6DCC71628}"/>
    <hyperlink ref="O29" r:id="rId27" xr:uid="{9A55EFE4-64B4-4348-AEF4-9441662D4157}"/>
    <hyperlink ref="O30" r:id="rId28" xr:uid="{AF48F137-7907-404A-A490-B42B0A4F6ABB}"/>
    <hyperlink ref="O31" r:id="rId29" xr:uid="{FF63A7A4-B5F7-447C-A152-D4CF511EDABF}"/>
    <hyperlink ref="O32" r:id="rId30" xr:uid="{E45D3047-1A3B-4EA6-8904-ED7A1AC856F1}"/>
    <hyperlink ref="P33" r:id="rId31" xr:uid="{8B1A3D1A-12DD-46FB-A522-E5C06EF7D2B4}"/>
    <hyperlink ref="O34" r:id="rId32" xr:uid="{31282B38-0EA9-4FE7-B3F8-BDFAEF948F00}"/>
    <hyperlink ref="O35" r:id="rId33" xr:uid="{2B7FA6A9-060B-4130-952F-943A942DB653}"/>
    <hyperlink ref="O36" r:id="rId34" xr:uid="{BAD8EA3F-B356-4A11-87F3-4938D6529D03}"/>
    <hyperlink ref="O37" r:id="rId35" xr:uid="{7E36B3D4-9A1D-4C20-A89C-BD7C006A52D1}"/>
    <hyperlink ref="O38" r:id="rId36" xr:uid="{2A023BDA-5857-4FA1-B090-0F388AA64E01}"/>
    <hyperlink ref="O39" r:id="rId37" xr:uid="{A58CB165-F47A-496D-BA1D-28DA66BD6328}"/>
    <hyperlink ref="O40" r:id="rId38" xr:uid="{7B0E7B30-3242-41CA-B061-23A412A511F6}"/>
    <hyperlink ref="P24" r:id="rId39" xr:uid="{F79329CE-8C09-45E2-971B-23319BFE290C}"/>
    <hyperlink ref="O41" r:id="rId40" xr:uid="{1CB1B183-5E55-421D-9159-0E6417440FB3}"/>
    <hyperlink ref="O42" r:id="rId41" xr:uid="{D1C3BE9C-33AE-465C-A9BB-A53BE0052659}"/>
    <hyperlink ref="O43" r:id="rId42" xr:uid="{7189EF0E-B707-4545-9C5C-7E7CF4213375}"/>
    <hyperlink ref="O44" r:id="rId43" xr:uid="{CD0410DC-E21F-4FBD-B596-EFE2F47C2710}"/>
    <hyperlink ref="O45" r:id="rId44" xr:uid="{52393CD6-1C18-4CB8-AD69-DC25B1547321}"/>
    <hyperlink ref="O47" r:id="rId45" xr:uid="{0813CF98-3E5A-4D2F-92E9-C1A5755B58F6}"/>
    <hyperlink ref="O48" r:id="rId46" xr:uid="{1A495E9D-866E-4D07-BF72-61DCD6378A52}"/>
    <hyperlink ref="O49" r:id="rId47" xr:uid="{A0C68885-20F4-4FA0-8A22-5414B9A8EA07}"/>
    <hyperlink ref="O50" r:id="rId48" xr:uid="{89F15C93-72B6-4CA0-82F0-BA66529F0BCA}"/>
    <hyperlink ref="P51" r:id="rId49" xr:uid="{4026E7DC-8AA0-4FDB-B14D-FDC9645B3CA6}"/>
    <hyperlink ref="O52" r:id="rId50" xr:uid="{F6CD10DC-54F9-4151-BE7F-A7FF794338E5}"/>
    <hyperlink ref="O53" r:id="rId51" xr:uid="{48B75474-AD50-426D-B80D-C739548D23ED}"/>
    <hyperlink ref="O54" r:id="rId52" xr:uid="{7B308E77-AE98-4790-8B8A-0320D1B79645}"/>
    <hyperlink ref="O55" r:id="rId53" xr:uid="{C121F3F6-4B98-46CF-B797-6144C23BEF48}"/>
    <hyperlink ref="O56" r:id="rId54" xr:uid="{4B3F5323-CB03-462D-AD07-62DDEA7D8000}"/>
    <hyperlink ref="P58" r:id="rId55" xr:uid="{D3F0B944-B706-4D8D-9567-DDAA07F57F5F}"/>
    <hyperlink ref="O59" r:id="rId56" xr:uid="{2D47CF39-D4E0-48F0-8595-810D38E525BB}"/>
    <hyperlink ref="O60" r:id="rId57" xr:uid="{628E5311-9263-488F-B461-086F2D8335D3}"/>
    <hyperlink ref="O61" r:id="rId58" xr:uid="{522D57B8-A6B4-44E3-B4FB-5DDF45E44DAF}"/>
    <hyperlink ref="O62" r:id="rId59" xr:uid="{5248B411-7750-4DC0-91ED-7DA9C3FCE3B3}"/>
    <hyperlink ref="O63" r:id="rId60" xr:uid="{5F4CF72C-F15F-4A63-AD52-D5FE2A01E857}"/>
    <hyperlink ref="O64" r:id="rId61" xr:uid="{16484457-878E-473E-BE43-B00A34CCEEEA}"/>
    <hyperlink ref="P65" r:id="rId62" xr:uid="{9A68B194-D210-4C51-A415-BAA2A86477AF}"/>
    <hyperlink ref="O66" r:id="rId63" xr:uid="{54384E65-BC6A-4A14-B2E3-759B5800CFC8}"/>
    <hyperlink ref="P66" r:id="rId64" xr:uid="{F584BD53-E6DD-4E43-B44A-6EDBFA9482ED}"/>
    <hyperlink ref="P67" r:id="rId65" xr:uid="{511E1D1D-AB01-4D49-8FCF-007F2D1A07FF}"/>
    <hyperlink ref="O68" r:id="rId66" xr:uid="{086A4FF7-F5E6-4068-A9FE-7B9ACCF9DE28}"/>
    <hyperlink ref="P69" r:id="rId67" display="https://d1wqtxts1xzle7.cloudfront.net/123619383/CRPITV46Pollard-libre.pdf?1751750417=&amp;response-content-disposition=inline%3B+filename%3DA_reference_architecture_for_instruction.pdf&amp;Expires=1772068116&amp;Signature=N6~gzwZTKvZZoHlILDEJXnITpCqZa5k9MYjDO-tD-EaqwPXNpMJwn~OuHl4a3hrpv-d0Eo-~Z1pDlLextYVzs3Fno2Xm3MNeC9cffYi9wNVbfDbMT~ygtcUBgFY22ML7qm6EVWZ2pBkwfkIAvIkmcmRSho4E3mYpjVjjZj9KQgY866r6hN3T6ecgrYKv7UVjY60FcaXEp3t1NNmBqCbcDeoKx1ccB9xIFFEd5693Ff3lt~4q1WppnMulNq7V0X3Thg~2ZTfghJZ91kvWe6JLweXixuyuBuaJxefY9DcnHcBmIUyjj5sY480voo22EjRbSkkqKRG5fcbLvv75ohiFFw__&amp;Key-Pair-Id=APKAJLOHF5GGSLRBV4ZA" xr:uid="{0F4CEBD5-56BB-40DD-A168-8F0D8A4C76D2}"/>
    <hyperlink ref="O70" r:id="rId68" xr:uid="{F8C96B28-C0B7-4D34-A34C-2FDCC157A328}"/>
    <hyperlink ref="O71" r:id="rId69" xr:uid="{716640DC-7B02-4AF8-81B1-1F11D150A6A3}"/>
    <hyperlink ref="O72" r:id="rId70" xr:uid="{90EF8215-5B2F-4D72-8944-E89B8558A52E}"/>
    <hyperlink ref="O73" r:id="rId71" xr:uid="{1315131B-C59D-4E52-8A30-63440B2FFFEB}"/>
    <hyperlink ref="O74" r:id="rId72" xr:uid="{A3492599-B485-41C6-BEAF-E85AFA1B7266}"/>
    <hyperlink ref="P75" r:id="rId73" location="page=59" display="https://www.researchgate.net/profile/Hans-Schaffers/publication/230730354_Living_Labs_for_Enhancing_Innovation_and_Rural_development_Methodology_and_Implementation/links/5cc95be5a6fdcc1d49bc64fb/Living-Labs-for-Enhancing-Innovation-and-Rural-development-Methodology-and-Implementation.pdf#page=59" xr:uid="{E2946338-C1FA-48BB-90C8-A5FEC9D40679}"/>
    <hyperlink ref="P76" r:id="rId74" xr:uid="{016C9761-5058-4E80-A2DB-F83744380B87}"/>
    <hyperlink ref="P77" r:id="rId75" display="https://www.researchgate.net/profile/Osama-Khaled-3/publication/311509419_A_Pervasive_Computing_Business_Reference_Architecture_The_Basic_Requirements_Model/links/591af3dbaca272fa34dbb634/A-Pervasive-Computing-Business-Reference-Architecture-The-Basic-Requirements-Model.pdf" xr:uid="{55B616FB-A454-4569-8361-C0B87FB4FC5A}"/>
    <hyperlink ref="P78" r:id="rId76" xr:uid="{1E4FA01E-EDA0-4343-B834-5638C6BCB407}"/>
    <hyperlink ref="O78" r:id="rId77" xr:uid="{DC138A5E-438B-462A-9B9B-38F4CF21748D}"/>
    <hyperlink ref="O80" r:id="rId78" xr:uid="{630D68EE-C7D1-4E4E-9B67-A18971E600E3}"/>
    <hyperlink ref="P81" r:id="rId79" xr:uid="{13AF7C7E-1288-4D83-8117-B50181436DCB}"/>
    <hyperlink ref="O81" r:id="rId80" xr:uid="{9EAA0A4F-E6A7-4BAF-95A2-08B168B694C6}"/>
    <hyperlink ref="O82" r:id="rId81" xr:uid="{9FCB31D7-EA01-4813-8F99-C5E12AAC94BE}"/>
    <hyperlink ref="O83" r:id="rId82" xr:uid="{2E8FA696-9C70-4EBC-8CC1-20C6CA7FAB93}"/>
    <hyperlink ref="O84" r:id="rId83" xr:uid="{706F6532-8516-4BB3-B803-1C285B25D145}"/>
    <hyperlink ref="O85" r:id="rId84" xr:uid="{F44A30FF-860A-4ECB-A388-02E78CDE9763}"/>
    <hyperlink ref="O86" r:id="rId85" xr:uid="{58FD82CE-E1E0-4097-BCE0-84F412EB5615}"/>
    <hyperlink ref="P87" r:id="rId86" xr:uid="{43B027A6-2856-46D3-B1B4-C8C24A113A8A}"/>
    <hyperlink ref="O87" r:id="rId87" xr:uid="{36E92D83-7553-42FD-9EBC-1ED9DB2DABD5}"/>
    <hyperlink ref="O88" r:id="rId88" xr:uid="{917299BD-0972-459F-946E-779A937C7406}"/>
    <hyperlink ref="O89" r:id="rId89" xr:uid="{12FCF8FA-1913-4B4D-82BB-C9E422612C68}"/>
    <hyperlink ref="O90" r:id="rId90" xr:uid="{D4DA4FE5-02A8-4544-8DCE-B4C9E09B8578}"/>
    <hyperlink ref="O91" r:id="rId91" xr:uid="{CBBA9EA2-FD0D-4856-9437-0EA61A0E8A2F}"/>
    <hyperlink ref="P92" r:id="rId92" xr:uid="{D2D52ECF-83C6-4271-B286-7719B0076774}"/>
    <hyperlink ref="P94" r:id="rId93" xr:uid="{E6F61B23-0BBC-4FA2-8462-5F9FD8351C2A}"/>
    <hyperlink ref="O95" r:id="rId94" xr:uid="{4C27EFF4-74DA-4DDD-9544-8D22161BBFC6}"/>
    <hyperlink ref="O96" r:id="rId95" xr:uid="{8AC035DA-D0F3-4093-B249-A226651827DE}"/>
    <hyperlink ref="O97" r:id="rId96" xr:uid="{5A624A1E-E44D-4C0D-89B8-3283F1982385}"/>
    <hyperlink ref="O98" r:id="rId97" xr:uid="{E248ADB9-80D6-461F-BDFE-7A1233722EDD}"/>
    <hyperlink ref="O99" r:id="rId98" xr:uid="{FCFCF0CF-57A4-486F-A88A-96FEE870956A}"/>
    <hyperlink ref="O101" r:id="rId99" xr:uid="{81BF6EE7-85E7-4002-8774-FDFF9CD0C9B0}"/>
    <hyperlink ref="O102" r:id="rId100" xr:uid="{44534E92-B4F0-4ADE-A7DB-7EE6A21C7246}"/>
    <hyperlink ref="O103" r:id="rId101" xr:uid="{62DEAC07-7D8D-4326-9822-0896465584F6}"/>
    <hyperlink ref="O104" r:id="rId102" xr:uid="{0B68E32B-E31B-4E8B-86E9-BC2B32D431AF}"/>
    <hyperlink ref="O105" r:id="rId103" xr:uid="{750DA2E8-3AC5-4084-B39F-D583845A8D02}"/>
  </hyperlinks>
  <pageMargins left="0.7" right="0.7" top="0.75" bottom="0.75" header="0.3" footer="0.3"/>
  <pageSetup paperSize="9" orientation="portrait" r:id="rId104"/>
  <ignoredErrors>
    <ignoredError sqref="Y48" twoDigitTextYear="1"/>
  </ignoredErrors>
  <tableParts count="1">
    <tablePart r:id="rId10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SFERA_InitialSearch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Simona Wist</cp:lastModifiedBy>
  <dcterms:modified xsi:type="dcterms:W3CDTF">2026-04-07T21:53:18Z</dcterms:modified>
</cp:coreProperties>
</file>